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451BAF9F-E53D-C540-81EA-4F1E2A86245F}" xr6:coauthVersionLast="36" xr6:coauthVersionMax="47" xr10:uidLastSave="{00000000-0000-0000-0000-000000000000}"/>
  <bookViews>
    <workbookView xWindow="480" yWindow="540" windowWidth="28320" windowHeight="16640" firstSheet="2" activeTab="12" xr2:uid="{D2CDBE29-2882-446A-A46C-4D05096CD50C}"/>
  </bookViews>
  <sheets>
    <sheet name="Stemmefordeling (2)" sheetId="14" r:id="rId1"/>
    <sheet name="Forutsetninger" sheetId="6" r:id="rId2"/>
    <sheet name="Resultat" sheetId="4" r:id="rId3"/>
    <sheet name="Resultat_detaljert" sheetId="7" r:id="rId4"/>
    <sheet name="Resultater_koalisjoner" sheetId="10" r:id="rId5"/>
    <sheet name="Prognose" sheetId="3" r:id="rId6"/>
    <sheet name="Målinger" sheetId="5" r:id="rId7"/>
    <sheet name="Mandater" sheetId="1" r:id="rId8"/>
    <sheet name="Stemmefordeling" sheetId="2" r:id="rId9"/>
    <sheet name="Ark2" sheetId="11" r:id="rId10"/>
    <sheet name="Ark1" sheetId="12" r:id="rId11"/>
    <sheet name="Usikkerhet" sheetId="8" r:id="rId12"/>
    <sheet name="Ark3" sheetId="13" r:id="rId13"/>
    <sheet name="Aggregater" sheetId="9" r:id="rId14"/>
  </sheets>
  <functionGroups builtInGroupCount="19"/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3" l="1"/>
  <c r="B17" i="13"/>
  <c r="D15" i="13"/>
  <c r="B24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  <c r="K49" i="2"/>
  <c r="J49" i="2"/>
  <c r="I49" i="2"/>
  <c r="H49" i="2"/>
  <c r="G49" i="2"/>
  <c r="F49" i="2"/>
  <c r="E49" i="2"/>
  <c r="D49" i="2"/>
  <c r="C49" i="2"/>
  <c r="C50" i="2" s="1"/>
  <c r="V51" i="2"/>
  <c r="W51" i="2"/>
  <c r="X51" i="2"/>
  <c r="Y51" i="2"/>
  <c r="Z51" i="2"/>
  <c r="AA51" i="2"/>
  <c r="AB51" i="2"/>
  <c r="AC51" i="2"/>
  <c r="U51" i="2"/>
  <c r="AE49" i="14"/>
  <c r="AD49" i="14"/>
  <c r="AC49" i="14"/>
  <c r="AB49" i="14"/>
  <c r="AA49" i="14"/>
  <c r="Z49" i="14"/>
  <c r="Y49" i="14"/>
  <c r="X49" i="14"/>
  <c r="W49" i="14"/>
  <c r="W50" i="14" s="1"/>
  <c r="U49" i="14"/>
  <c r="T49" i="14"/>
  <c r="S49" i="14"/>
  <c r="R49" i="14"/>
  <c r="Q49" i="14"/>
  <c r="P49" i="14"/>
  <c r="O49" i="14"/>
  <c r="N49" i="14"/>
  <c r="M49" i="14"/>
  <c r="M50" i="14" s="1"/>
  <c r="K49" i="14"/>
  <c r="J49" i="14"/>
  <c r="I49" i="14"/>
  <c r="H49" i="14"/>
  <c r="G49" i="14"/>
  <c r="F49" i="14"/>
  <c r="E49" i="14"/>
  <c r="D49" i="14"/>
  <c r="L49" i="14" s="1"/>
  <c r="C49" i="14"/>
  <c r="C50" i="14" s="1"/>
  <c r="AF48" i="14"/>
  <c r="AF21" i="14" s="1"/>
  <c r="V48" i="14"/>
  <c r="L48" i="14"/>
  <c r="AF47" i="14"/>
  <c r="V47" i="14"/>
  <c r="V20" i="14" s="1"/>
  <c r="L47" i="14"/>
  <c r="AF46" i="14"/>
  <c r="AF19" i="14" s="1"/>
  <c r="V46" i="14"/>
  <c r="L46" i="14"/>
  <c r="AF45" i="14"/>
  <c r="V45" i="14"/>
  <c r="V18" i="14" s="1"/>
  <c r="L45" i="14"/>
  <c r="AF44" i="14"/>
  <c r="V44" i="14"/>
  <c r="L44" i="14"/>
  <c r="AF43" i="14"/>
  <c r="V43" i="14"/>
  <c r="L43" i="14"/>
  <c r="AF42" i="14"/>
  <c r="AF15" i="14" s="1"/>
  <c r="V42" i="14"/>
  <c r="L42" i="14"/>
  <c r="AF41" i="14"/>
  <c r="V41" i="14"/>
  <c r="V14" i="14" s="1"/>
  <c r="L41" i="14"/>
  <c r="AF40" i="14"/>
  <c r="V40" i="14"/>
  <c r="L40" i="14"/>
  <c r="AF39" i="14"/>
  <c r="V39" i="14"/>
  <c r="L39" i="14"/>
  <c r="AF38" i="14"/>
  <c r="AF11" i="14" s="1"/>
  <c r="V38" i="14"/>
  <c r="L38" i="14"/>
  <c r="AF37" i="14"/>
  <c r="V37" i="14"/>
  <c r="V10" i="14" s="1"/>
  <c r="L37" i="14"/>
  <c r="AF36" i="14"/>
  <c r="V36" i="14"/>
  <c r="L36" i="14"/>
  <c r="AF35" i="14"/>
  <c r="V35" i="14"/>
  <c r="L35" i="14"/>
  <c r="AF34" i="14"/>
  <c r="V34" i="14"/>
  <c r="L34" i="14"/>
  <c r="AF33" i="14"/>
  <c r="V33" i="14"/>
  <c r="L33" i="14"/>
  <c r="AF32" i="14"/>
  <c r="V32" i="14"/>
  <c r="L32" i="14"/>
  <c r="AF31" i="14"/>
  <c r="V31" i="14"/>
  <c r="L31" i="14"/>
  <c r="AF30" i="14"/>
  <c r="V30" i="14"/>
  <c r="L30" i="14"/>
  <c r="AE21" i="14"/>
  <c r="AD21" i="14"/>
  <c r="AC21" i="14"/>
  <c r="AB21" i="14"/>
  <c r="AA21" i="14"/>
  <c r="Z21" i="14"/>
  <c r="Y21" i="14"/>
  <c r="X21" i="14"/>
  <c r="W21" i="14"/>
  <c r="U21" i="14"/>
  <c r="T21" i="14"/>
  <c r="S21" i="14"/>
  <c r="R21" i="14"/>
  <c r="Q21" i="14"/>
  <c r="P21" i="14"/>
  <c r="O21" i="14"/>
  <c r="N21" i="14"/>
  <c r="M21" i="14"/>
  <c r="K21" i="14"/>
  <c r="J21" i="14"/>
  <c r="I21" i="14"/>
  <c r="H21" i="14"/>
  <c r="G21" i="14"/>
  <c r="F21" i="14"/>
  <c r="E21" i="14"/>
  <c r="D21" i="14"/>
  <c r="C21" i="14"/>
  <c r="AE20" i="14"/>
  <c r="AD20" i="14"/>
  <c r="AC20" i="14"/>
  <c r="AB20" i="14"/>
  <c r="AA20" i="14"/>
  <c r="Z20" i="14"/>
  <c r="Y20" i="14"/>
  <c r="X20" i="14"/>
  <c r="W20" i="14"/>
  <c r="U20" i="14"/>
  <c r="T20" i="14"/>
  <c r="S20" i="14"/>
  <c r="R20" i="14"/>
  <c r="Q20" i="14"/>
  <c r="P20" i="14"/>
  <c r="O20" i="14"/>
  <c r="N20" i="14"/>
  <c r="M20" i="14"/>
  <c r="K20" i="14"/>
  <c r="J20" i="14"/>
  <c r="I20" i="14"/>
  <c r="H20" i="14"/>
  <c r="G20" i="14"/>
  <c r="F20" i="14"/>
  <c r="E20" i="14"/>
  <c r="D20" i="14"/>
  <c r="C20" i="14"/>
  <c r="AE19" i="14"/>
  <c r="AD19" i="14"/>
  <c r="AC19" i="14"/>
  <c r="AB19" i="14"/>
  <c r="AA19" i="14"/>
  <c r="Z19" i="14"/>
  <c r="Y19" i="14"/>
  <c r="X19" i="14"/>
  <c r="W19" i="14"/>
  <c r="U19" i="14"/>
  <c r="T19" i="14"/>
  <c r="S19" i="14"/>
  <c r="R19" i="14"/>
  <c r="Q19" i="14"/>
  <c r="P19" i="14"/>
  <c r="O19" i="14"/>
  <c r="N19" i="14"/>
  <c r="M19" i="14"/>
  <c r="K19" i="14"/>
  <c r="J19" i="14"/>
  <c r="I19" i="14"/>
  <c r="H19" i="14"/>
  <c r="G19" i="14"/>
  <c r="F19" i="14"/>
  <c r="E19" i="14"/>
  <c r="D19" i="14"/>
  <c r="C19" i="14"/>
  <c r="AE18" i="14"/>
  <c r="AD18" i="14"/>
  <c r="AC18" i="14"/>
  <c r="AB18" i="14"/>
  <c r="AA18" i="14"/>
  <c r="Z18" i="14"/>
  <c r="Y18" i="14"/>
  <c r="X18" i="14"/>
  <c r="W18" i="14"/>
  <c r="U18" i="14"/>
  <c r="T18" i="14"/>
  <c r="S18" i="14"/>
  <c r="R18" i="14"/>
  <c r="Q18" i="14"/>
  <c r="P18" i="14"/>
  <c r="O18" i="14"/>
  <c r="N18" i="14"/>
  <c r="M18" i="14"/>
  <c r="K18" i="14"/>
  <c r="J18" i="14"/>
  <c r="I18" i="14"/>
  <c r="H18" i="14"/>
  <c r="G18" i="14"/>
  <c r="F18" i="14"/>
  <c r="E18" i="14"/>
  <c r="D18" i="14"/>
  <c r="C18" i="14"/>
  <c r="AE17" i="14"/>
  <c r="AD17" i="14"/>
  <c r="AC17" i="14"/>
  <c r="AB17" i="14"/>
  <c r="AA17" i="14"/>
  <c r="Z17" i="14"/>
  <c r="Y17" i="14"/>
  <c r="X17" i="14"/>
  <c r="W17" i="14"/>
  <c r="U17" i="14"/>
  <c r="T17" i="14"/>
  <c r="S17" i="14"/>
  <c r="R17" i="14"/>
  <c r="Q17" i="14"/>
  <c r="P17" i="14"/>
  <c r="O17" i="14"/>
  <c r="N17" i="14"/>
  <c r="M17" i="14"/>
  <c r="K17" i="14"/>
  <c r="J17" i="14"/>
  <c r="I17" i="14"/>
  <c r="H17" i="14"/>
  <c r="G17" i="14"/>
  <c r="F17" i="14"/>
  <c r="E17" i="14"/>
  <c r="D17" i="14"/>
  <c r="C17" i="14"/>
  <c r="AE16" i="14"/>
  <c r="AD16" i="14"/>
  <c r="AC16" i="14"/>
  <c r="AB16" i="14"/>
  <c r="AA16" i="14"/>
  <c r="Z16" i="14"/>
  <c r="Y16" i="14"/>
  <c r="X16" i="14"/>
  <c r="W16" i="14"/>
  <c r="U16" i="14"/>
  <c r="T16" i="14"/>
  <c r="S16" i="14"/>
  <c r="R16" i="14"/>
  <c r="Q16" i="14"/>
  <c r="P16" i="14"/>
  <c r="O16" i="14"/>
  <c r="N16" i="14"/>
  <c r="M16" i="14"/>
  <c r="K16" i="14"/>
  <c r="J16" i="14"/>
  <c r="I16" i="14"/>
  <c r="H16" i="14"/>
  <c r="G16" i="14"/>
  <c r="F16" i="14"/>
  <c r="E16" i="14"/>
  <c r="D16" i="14"/>
  <c r="C16" i="14"/>
  <c r="AE15" i="14"/>
  <c r="AD15" i="14"/>
  <c r="AC15" i="14"/>
  <c r="AB15" i="14"/>
  <c r="AA15" i="14"/>
  <c r="Z15" i="14"/>
  <c r="Y15" i="14"/>
  <c r="X15" i="14"/>
  <c r="W15" i="14"/>
  <c r="U15" i="14"/>
  <c r="T15" i="14"/>
  <c r="S15" i="14"/>
  <c r="R15" i="14"/>
  <c r="Q15" i="14"/>
  <c r="P15" i="14"/>
  <c r="O15" i="14"/>
  <c r="N15" i="14"/>
  <c r="M15" i="14"/>
  <c r="K15" i="14"/>
  <c r="J15" i="14"/>
  <c r="I15" i="14"/>
  <c r="H15" i="14"/>
  <c r="G15" i="14"/>
  <c r="F15" i="14"/>
  <c r="E15" i="14"/>
  <c r="D15" i="14"/>
  <c r="C15" i="14"/>
  <c r="AE14" i="14"/>
  <c r="AD14" i="14"/>
  <c r="AC14" i="14"/>
  <c r="AB14" i="14"/>
  <c r="AA14" i="14"/>
  <c r="Z14" i="14"/>
  <c r="Y14" i="14"/>
  <c r="X14" i="14"/>
  <c r="W14" i="14"/>
  <c r="U14" i="14"/>
  <c r="T14" i="14"/>
  <c r="S14" i="14"/>
  <c r="R14" i="14"/>
  <c r="Q14" i="14"/>
  <c r="P14" i="14"/>
  <c r="O14" i="14"/>
  <c r="N14" i="14"/>
  <c r="M14" i="14"/>
  <c r="K14" i="14"/>
  <c r="J14" i="14"/>
  <c r="I14" i="14"/>
  <c r="H14" i="14"/>
  <c r="G14" i="14"/>
  <c r="F14" i="14"/>
  <c r="E14" i="14"/>
  <c r="D14" i="14"/>
  <c r="C14" i="14"/>
  <c r="AE13" i="14"/>
  <c r="AD13" i="14"/>
  <c r="AC13" i="14"/>
  <c r="AB13" i="14"/>
  <c r="AA13" i="14"/>
  <c r="Z13" i="14"/>
  <c r="Y13" i="14"/>
  <c r="X13" i="14"/>
  <c r="W13" i="14"/>
  <c r="U13" i="14"/>
  <c r="T13" i="14"/>
  <c r="S13" i="14"/>
  <c r="R13" i="14"/>
  <c r="Q13" i="14"/>
  <c r="P13" i="14"/>
  <c r="O13" i="14"/>
  <c r="N13" i="14"/>
  <c r="M13" i="14"/>
  <c r="K13" i="14"/>
  <c r="J13" i="14"/>
  <c r="I13" i="14"/>
  <c r="H13" i="14"/>
  <c r="G13" i="14"/>
  <c r="F13" i="14"/>
  <c r="E13" i="14"/>
  <c r="D13" i="14"/>
  <c r="C13" i="14"/>
  <c r="AE12" i="14"/>
  <c r="AD12" i="14"/>
  <c r="AC12" i="14"/>
  <c r="AB12" i="14"/>
  <c r="AA12" i="14"/>
  <c r="Z12" i="14"/>
  <c r="Y12" i="14"/>
  <c r="X12" i="14"/>
  <c r="W12" i="14"/>
  <c r="U12" i="14"/>
  <c r="T12" i="14"/>
  <c r="S12" i="14"/>
  <c r="R12" i="14"/>
  <c r="Q12" i="14"/>
  <c r="P12" i="14"/>
  <c r="O12" i="14"/>
  <c r="N12" i="14"/>
  <c r="M12" i="14"/>
  <c r="K12" i="14"/>
  <c r="J12" i="14"/>
  <c r="I12" i="14"/>
  <c r="H12" i="14"/>
  <c r="G12" i="14"/>
  <c r="F12" i="14"/>
  <c r="E12" i="14"/>
  <c r="D12" i="14"/>
  <c r="C12" i="14"/>
  <c r="AE11" i="14"/>
  <c r="AD11" i="14"/>
  <c r="AC11" i="14"/>
  <c r="AB11" i="14"/>
  <c r="AA11" i="14"/>
  <c r="Z11" i="14"/>
  <c r="Y11" i="14"/>
  <c r="X11" i="14"/>
  <c r="W11" i="14"/>
  <c r="U11" i="14"/>
  <c r="T11" i="14"/>
  <c r="S11" i="14"/>
  <c r="R11" i="14"/>
  <c r="Q11" i="14"/>
  <c r="P11" i="14"/>
  <c r="O11" i="14"/>
  <c r="N11" i="14"/>
  <c r="M11" i="14"/>
  <c r="K11" i="14"/>
  <c r="J11" i="14"/>
  <c r="I11" i="14"/>
  <c r="H11" i="14"/>
  <c r="G11" i="14"/>
  <c r="F11" i="14"/>
  <c r="E11" i="14"/>
  <c r="D11" i="14"/>
  <c r="C11" i="14"/>
  <c r="AE10" i="14"/>
  <c r="AD10" i="14"/>
  <c r="AC10" i="14"/>
  <c r="AB10" i="14"/>
  <c r="AA10" i="14"/>
  <c r="Z10" i="14"/>
  <c r="Y10" i="14"/>
  <c r="X10" i="14"/>
  <c r="W10" i="14"/>
  <c r="U10" i="14"/>
  <c r="T10" i="14"/>
  <c r="S10" i="14"/>
  <c r="R10" i="14"/>
  <c r="Q10" i="14"/>
  <c r="P10" i="14"/>
  <c r="O10" i="14"/>
  <c r="N10" i="14"/>
  <c r="M10" i="14"/>
  <c r="K10" i="14"/>
  <c r="J10" i="14"/>
  <c r="I10" i="14"/>
  <c r="H10" i="14"/>
  <c r="G10" i="14"/>
  <c r="F10" i="14"/>
  <c r="E10" i="14"/>
  <c r="D10" i="14"/>
  <c r="C10" i="14"/>
  <c r="AE9" i="14"/>
  <c r="AD9" i="14"/>
  <c r="AC9" i="14"/>
  <c r="AB9" i="14"/>
  <c r="AA9" i="14"/>
  <c r="Z9" i="14"/>
  <c r="Y9" i="14"/>
  <c r="X9" i="14"/>
  <c r="W9" i="14"/>
  <c r="U9" i="14"/>
  <c r="T9" i="14"/>
  <c r="S9" i="14"/>
  <c r="R9" i="14"/>
  <c r="Q9" i="14"/>
  <c r="P9" i="14"/>
  <c r="O9" i="14"/>
  <c r="N9" i="14"/>
  <c r="M9" i="14"/>
  <c r="K9" i="14"/>
  <c r="J9" i="14"/>
  <c r="I9" i="14"/>
  <c r="H9" i="14"/>
  <c r="G9" i="14"/>
  <c r="F9" i="14"/>
  <c r="E9" i="14"/>
  <c r="D9" i="14"/>
  <c r="C9" i="14"/>
  <c r="AE8" i="14"/>
  <c r="AD8" i="14"/>
  <c r="AC8" i="14"/>
  <c r="AB8" i="14"/>
  <c r="AA8" i="14"/>
  <c r="Z8" i="14"/>
  <c r="Y8" i="14"/>
  <c r="X8" i="14"/>
  <c r="W8" i="14"/>
  <c r="U8" i="14"/>
  <c r="T8" i="14"/>
  <c r="S8" i="14"/>
  <c r="R8" i="14"/>
  <c r="Q8" i="14"/>
  <c r="P8" i="14"/>
  <c r="O8" i="14"/>
  <c r="N8" i="14"/>
  <c r="M8" i="14"/>
  <c r="K8" i="14"/>
  <c r="J8" i="14"/>
  <c r="I8" i="14"/>
  <c r="H8" i="14"/>
  <c r="G8" i="14"/>
  <c r="F8" i="14"/>
  <c r="E8" i="14"/>
  <c r="D8" i="14"/>
  <c r="C8" i="14"/>
  <c r="AE7" i="14"/>
  <c r="AD7" i="14"/>
  <c r="AC7" i="14"/>
  <c r="AB7" i="14"/>
  <c r="AA7" i="14"/>
  <c r="Z7" i="14"/>
  <c r="Y7" i="14"/>
  <c r="X7" i="14"/>
  <c r="W7" i="14"/>
  <c r="U7" i="14"/>
  <c r="T7" i="14"/>
  <c r="S7" i="14"/>
  <c r="R7" i="14"/>
  <c r="Q7" i="14"/>
  <c r="P7" i="14"/>
  <c r="O7" i="14"/>
  <c r="N7" i="14"/>
  <c r="M7" i="14"/>
  <c r="K7" i="14"/>
  <c r="J7" i="14"/>
  <c r="I7" i="14"/>
  <c r="H7" i="14"/>
  <c r="G7" i="14"/>
  <c r="F7" i="14"/>
  <c r="E7" i="14"/>
  <c r="D7" i="14"/>
  <c r="C7" i="14"/>
  <c r="AE6" i="14"/>
  <c r="AD6" i="14"/>
  <c r="AC6" i="14"/>
  <c r="AB6" i="14"/>
  <c r="AA6" i="14"/>
  <c r="Z6" i="14"/>
  <c r="Y6" i="14"/>
  <c r="X6" i="14"/>
  <c r="W6" i="14"/>
  <c r="U6" i="14"/>
  <c r="T6" i="14"/>
  <c r="S6" i="14"/>
  <c r="R6" i="14"/>
  <c r="Q6" i="14"/>
  <c r="P6" i="14"/>
  <c r="O6" i="14"/>
  <c r="N6" i="14"/>
  <c r="M6" i="14"/>
  <c r="K6" i="14"/>
  <c r="J6" i="14"/>
  <c r="I6" i="14"/>
  <c r="H6" i="14"/>
  <c r="G6" i="14"/>
  <c r="F6" i="14"/>
  <c r="E6" i="14"/>
  <c r="D6" i="14"/>
  <c r="C6" i="14"/>
  <c r="AE5" i="14"/>
  <c r="AD5" i="14"/>
  <c r="AC5" i="14"/>
  <c r="AB5" i="14"/>
  <c r="AA5" i="14"/>
  <c r="Z5" i="14"/>
  <c r="Y5" i="14"/>
  <c r="X5" i="14"/>
  <c r="W5" i="14"/>
  <c r="U5" i="14"/>
  <c r="T5" i="14"/>
  <c r="S5" i="14"/>
  <c r="R5" i="14"/>
  <c r="Q5" i="14"/>
  <c r="P5" i="14"/>
  <c r="O5" i="14"/>
  <c r="N5" i="14"/>
  <c r="M5" i="14"/>
  <c r="K5" i="14"/>
  <c r="J5" i="14"/>
  <c r="I5" i="14"/>
  <c r="H5" i="14"/>
  <c r="G5" i="14"/>
  <c r="F5" i="14"/>
  <c r="E5" i="14"/>
  <c r="D5" i="14"/>
  <c r="C5" i="14"/>
  <c r="AE4" i="14"/>
  <c r="AD4" i="14"/>
  <c r="AC4" i="14"/>
  <c r="AB4" i="14"/>
  <c r="AB22" i="14" s="1"/>
  <c r="AA4" i="14"/>
  <c r="Z4" i="14"/>
  <c r="Y4" i="14"/>
  <c r="X4" i="14"/>
  <c r="X22" i="14" s="1"/>
  <c r="W4" i="14"/>
  <c r="U4" i="14"/>
  <c r="T4" i="14"/>
  <c r="T22" i="14" s="1"/>
  <c r="S4" i="14"/>
  <c r="R4" i="14"/>
  <c r="Q4" i="14"/>
  <c r="P4" i="14"/>
  <c r="P22" i="14" s="1"/>
  <c r="O4" i="14"/>
  <c r="N4" i="14"/>
  <c r="M4" i="14"/>
  <c r="K4" i="14"/>
  <c r="J4" i="14"/>
  <c r="I4" i="14"/>
  <c r="H4" i="14"/>
  <c r="H22" i="14" s="1"/>
  <c r="G4" i="14"/>
  <c r="F4" i="14"/>
  <c r="E4" i="14"/>
  <c r="D4" i="14"/>
  <c r="D22" i="14" s="1"/>
  <c r="C4" i="14"/>
  <c r="AE3" i="14"/>
  <c r="AE22" i="14" s="1"/>
  <c r="AD3" i="14"/>
  <c r="AD22" i="14" s="1"/>
  <c r="AC3" i="14"/>
  <c r="AC22" i="14" s="1"/>
  <c r="AB3" i="14"/>
  <c r="AA3" i="14"/>
  <c r="AA22" i="14" s="1"/>
  <c r="Z3" i="14"/>
  <c r="Z22" i="14" s="1"/>
  <c r="Y3" i="14"/>
  <c r="Y22" i="14" s="1"/>
  <c r="X3" i="14"/>
  <c r="W3" i="14"/>
  <c r="W22" i="14" s="1"/>
  <c r="U3" i="14"/>
  <c r="U22" i="14" s="1"/>
  <c r="T3" i="14"/>
  <c r="S3" i="14"/>
  <c r="S22" i="14" s="1"/>
  <c r="R3" i="14"/>
  <c r="R22" i="14" s="1"/>
  <c r="Q3" i="14"/>
  <c r="Q22" i="14" s="1"/>
  <c r="P3" i="14"/>
  <c r="O3" i="14"/>
  <c r="O22" i="14" s="1"/>
  <c r="N3" i="14"/>
  <c r="N22" i="14" s="1"/>
  <c r="M3" i="14"/>
  <c r="M22" i="14" s="1"/>
  <c r="K3" i="14"/>
  <c r="K22" i="14" s="1"/>
  <c r="J3" i="14"/>
  <c r="J22" i="14" s="1"/>
  <c r="I3" i="14"/>
  <c r="I22" i="14" s="1"/>
  <c r="H3" i="14"/>
  <c r="G3" i="14"/>
  <c r="G22" i="14" s="1"/>
  <c r="F3" i="14"/>
  <c r="F22" i="14" s="1"/>
  <c r="E3" i="14"/>
  <c r="E22" i="14" s="1"/>
  <c r="D3" i="14"/>
  <c r="C3" i="14"/>
  <c r="C22" i="14" s="1"/>
  <c r="L20" i="14" l="1"/>
  <c r="L18" i="14"/>
  <c r="L16" i="14"/>
  <c r="L14" i="14"/>
  <c r="L19" i="14"/>
  <c r="L15" i="14"/>
  <c r="L11" i="14"/>
  <c r="L9" i="14"/>
  <c r="L7" i="14"/>
  <c r="L5" i="14"/>
  <c r="L3" i="14"/>
  <c r="L10" i="14"/>
  <c r="L6" i="14"/>
  <c r="L12" i="14"/>
  <c r="L8" i="14"/>
  <c r="L4" i="14"/>
  <c r="L13" i="14"/>
  <c r="L17" i="14"/>
  <c r="L21" i="14"/>
  <c r="V21" i="14"/>
  <c r="V19" i="14"/>
  <c r="V16" i="14"/>
  <c r="V12" i="14"/>
  <c r="V8" i="14"/>
  <c r="V6" i="14"/>
  <c r="V4" i="14"/>
  <c r="V11" i="14"/>
  <c r="V7" i="14"/>
  <c r="V5" i="14"/>
  <c r="V3" i="14"/>
  <c r="V22" i="14" s="1"/>
  <c r="V17" i="14"/>
  <c r="V15" i="14"/>
  <c r="V13" i="14"/>
  <c r="V9" i="14"/>
  <c r="AF20" i="14"/>
  <c r="AF18" i="14"/>
  <c r="AF16" i="14"/>
  <c r="AF14" i="14"/>
  <c r="AF12" i="14"/>
  <c r="AF17" i="14"/>
  <c r="AF13" i="14"/>
  <c r="AF9" i="14"/>
  <c r="AF7" i="14"/>
  <c r="AF5" i="14"/>
  <c r="AF3" i="14"/>
  <c r="AF10" i="14"/>
  <c r="AF4" i="14"/>
  <c r="AF8" i="14"/>
  <c r="AF6" i="1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" i="1"/>
  <c r="L22" i="14" l="1"/>
  <c r="AF22" i="14"/>
  <c r="B11" i="3"/>
  <c r="AC49" i="2" l="1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L50" i="2" l="1"/>
  <c r="U50" i="2"/>
  <c r="D9" i="12"/>
  <c r="D5" i="12"/>
  <c r="D6" i="12"/>
  <c r="D7" i="12"/>
  <c r="D8" i="12"/>
  <c r="D10" i="12"/>
  <c r="D11" i="12"/>
  <c r="D12" i="12"/>
  <c r="D13" i="12"/>
  <c r="D14" i="12"/>
  <c r="D4" i="12"/>
  <c r="C14" i="12"/>
  <c r="C5" i="12"/>
  <c r="C6" i="12"/>
  <c r="C7" i="12"/>
  <c r="C8" i="12"/>
  <c r="C9" i="12"/>
  <c r="C10" i="12"/>
  <c r="C11" i="12"/>
  <c r="C12" i="12"/>
  <c r="C13" i="12"/>
  <c r="C4" i="12"/>
  <c r="C2" i="3"/>
  <c r="I2" i="3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C3" i="3"/>
  <c r="C4" i="3"/>
  <c r="C5" i="3"/>
  <c r="C6" i="3"/>
  <c r="C7" i="3"/>
  <c r="C8" i="3"/>
  <c r="C9" i="3"/>
  <c r="C10" i="3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F34" i="8" s="1"/>
  <c r="I30" i="8"/>
  <c r="D30" i="8"/>
  <c r="J28" i="8"/>
  <c r="F28" i="8"/>
  <c r="I31" i="8"/>
  <c r="E31" i="8"/>
  <c r="H30" i="8"/>
  <c r="B31" i="8"/>
  <c r="B34" i="8" s="1"/>
  <c r="C33" i="8" l="1"/>
  <c r="C32" i="8" s="1"/>
  <c r="H12" i="5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4" i="4"/>
  <c r="U23" i="4"/>
  <c r="T23" i="4"/>
  <c r="S23" i="4"/>
  <c r="Q23" i="4"/>
  <c r="P23" i="4"/>
  <c r="O23" i="4"/>
  <c r="N23" i="4"/>
  <c r="M23" i="4"/>
  <c r="G13" i="3"/>
  <c r="I3" i="3"/>
  <c r="I4" i="3"/>
  <c r="I5" i="3"/>
  <c r="I6" i="3"/>
  <c r="I7" i="3"/>
  <c r="I8" i="3"/>
  <c r="I9" i="3"/>
  <c r="I10" i="3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K3" i="2"/>
  <c r="J3" i="2"/>
  <c r="I3" i="2"/>
  <c r="H3" i="2"/>
  <c r="G3" i="2"/>
  <c r="F3" i="2"/>
  <c r="E3" i="2"/>
  <c r="D3" i="2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E22" i="2" l="1"/>
  <c r="I22" i="2"/>
  <c r="D22" i="2"/>
  <c r="H22" i="2"/>
  <c r="F22" i="2"/>
  <c r="J22" i="2"/>
  <c r="G22" i="2"/>
  <c r="K22" i="2"/>
  <c r="C22" i="2"/>
  <c r="C12" i="5"/>
  <c r="D12" i="5" s="1"/>
  <c r="C13" i="5"/>
  <c r="D13" i="5" s="1"/>
  <c r="C15" i="5"/>
  <c r="D15" i="5" s="1"/>
  <c r="C14" i="5"/>
  <c r="D14" i="5" s="1"/>
  <c r="C16" i="5"/>
  <c r="D16" i="5" s="1"/>
  <c r="K23" i="4"/>
  <c r="AC23" i="4"/>
  <c r="AE23" i="4"/>
  <c r="AD23" i="4"/>
  <c r="AB23" i="4"/>
  <c r="Y23" i="4"/>
  <c r="AF23" i="4"/>
  <c r="AA23" i="4"/>
  <c r="Z23" i="4"/>
  <c r="X23" i="4"/>
  <c r="L22" i="2"/>
  <c r="AB22" i="2"/>
  <c r="T22" i="2"/>
  <c r="U22" i="2"/>
  <c r="O22" i="2"/>
  <c r="V22" i="2"/>
  <c r="W22" i="2"/>
  <c r="AC22" i="2"/>
  <c r="X22" i="2"/>
  <c r="M22" i="2"/>
  <c r="N22" i="2"/>
  <c r="Y22" i="2"/>
  <c r="Z22" i="2"/>
  <c r="AA22" i="2"/>
  <c r="P22" i="2"/>
  <c r="R22" i="2"/>
  <c r="Q22" i="2"/>
  <c r="S22" i="2"/>
  <c r="T12" i="5" l="1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I3" i="5" l="1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C16" i="3"/>
  <c r="O3" i="5" l="1"/>
  <c r="M3" i="5"/>
  <c r="N3" i="5"/>
</calcChain>
</file>

<file path=xl/sharedStrings.xml><?xml version="1.0" encoding="utf-8"?>
<sst xmlns="http://schemas.openxmlformats.org/spreadsheetml/2006/main" count="686" uniqueCount="135">
  <si>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</si>
  <si>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</si>
  <si>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</si>
  <si>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</si>
  <si>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</si>
  <si>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</si>
  <si>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</si>
  <si>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</si>
  <si>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</si>
  <si>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</si>
  <si>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</si>
  <si>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</si>
  <si>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</si>
  <si>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</si>
  <si>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</si>
  <si>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</si>
  <si>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</si>
  <si>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</si>
  <si>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</si>
  <si>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</si>
  <si>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</si>
  <si>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</si>
  <si>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</si>
  <si>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</si>
  <si>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</si>
  <si>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</si>
  <si>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</si>
  <si>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</si>
  <si>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</si>
  <si>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</si>
  <si>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</si>
  <si>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</si>
  <si>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</si>
  <si>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</si>
  <si>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</si>
  <si>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</si>
  <si>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</si>
  <si>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</si>
  <si>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</si>
  <si>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</si>
  <si>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</si>
  <si>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</si>
  <si>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</si>
  <si>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</si>
  <si>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</si>
  <si>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</si>
  <si>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</si>
  <si>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</si>
  <si>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</si>
  <si>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</si>
  <si>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</si>
  <si>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</si>
  <si>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</si>
  <si>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</si>
  <si>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</si>
  <si>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</si>
  <si>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</si>
  <si>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</si>
  <si>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</si>
  <si>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</si>
  <si>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</si>
  <si>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</si>
  <si>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</si>
  <si>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</si>
  <si>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</si>
  <si>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</si>
  <si>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</si>
  <si>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Total stemmetall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</si>
  <si>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</si>
  <si>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</si>
  <si>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</si>
  <si>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</si>
  <si>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</si>
  <si>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</si>
  <si>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</si>
  <si>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</si>
  <si>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</si>
  <si>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</si>
  <si>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</si>
  <si>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</si>
  <si>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</si>
  <si>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</si>
  <si>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</si>
  <si>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</si>
  <si>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</si>
  <si>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</si>
  <si>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</si>
  <si>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</si>
  <si>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</si>
  <si>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</si>
  <si>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</si>
  <si>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</si>
  <si>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</si>
  <si>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</si>
  <si>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</si>
  <si>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</si>
  <si>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</si>
  <si>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</si>
  <si>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</si>
  <si>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</si>
  <si>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</si>
  <si>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</si>
  <si>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</si>
  <si>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</si>
  <si>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</si>
  <si>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</si>
  <si>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</si>
  <si>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</si>
  <si>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</si>
  <si>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</si>
  <si>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</si>
  <si>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</si>
  <si>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</si>
  <si>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</si>
  <si>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</si>
  <si>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</si>
  <si>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</si>
  <si>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</si>
  <si>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</si>
  <si>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Ap</t>
  </si>
  <si>
    <t>Frp</t>
  </si>
  <si>
    <t>Sp</t>
  </si>
  <si>
    <t>KrF</t>
  </si>
  <si>
    <t>MDG</t>
  </si>
  <si>
    <t>R</t>
  </si>
  <si>
    <t>p</t>
  </si>
  <si>
    <t>1-p</t>
  </si>
  <si>
    <t>tot</t>
  </si>
  <si>
    <t>faktor</t>
  </si>
  <si>
    <t>G</t>
  </si>
  <si>
    <t>B</t>
  </si>
  <si>
    <t>Målinger august 13</t>
  </si>
  <si>
    <t>Sum</t>
  </si>
  <si>
    <t>[[0.28188506 0.20663013 0.18806706 0.03316781 0.02715211 0.05123393</t>
  </si>
  <si>
    <t>  0.05693807 0.06980927 0.03999527]]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</si>
</sst>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2"/>
      <color rgb="FF333333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.8"/>
      <color rgb="FF545454"/>
      <name val="Calibri"/>
      <family val="2"/>
      <scheme val="minor"/>
    </font>
    <font>
      <sz val="16"/>
      <color rgb="FF000000"/>
      <name val="Calibri"/>
      <family val="2"/>
      <scheme val="minor"/>
    </font>
    <font>
      <sz val="24"/>
      <color rgb="FF06FF53"/>
      <name val="Menlo"/>
      <family val="2"/>
    </font>
    <font>
      <sz val="16"/>
      <color rgb="FF06FF53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3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5" fillId="0" borderId="0" xfId="2" applyFont="1" applyAlignment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3" fontId="8" fillId="0" borderId="0" xfId="0" applyNumberFormat="1" applyFont="1"/>
    <xf numFmtId="1" fontId="7" fillId="3" borderId="0" xfId="0" applyNumberFormat="1" applyFont="1" applyFill="1" applyBorder="1" applyAlignment="1">
      <alignment horizontal="center"/>
    </xf>
    <xf numFmtId="0" fontId="9" fillId="4" borderId="0" xfId="0" applyFont="1" applyFill="1"/>
    <xf numFmtId="9" fontId="8" fillId="0" borderId="0" xfId="4" applyFont="1"/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2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164" fontId="8" fillId="0" borderId="0" xfId="4" applyNumberFormat="1" applyFont="1"/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0" fontId="14" fillId="3" borderId="9" xfId="0" applyFont="1" applyFill="1" applyBorder="1"/>
    <xf numFmtId="0" fontId="15" fillId="3" borderId="9" xfId="0" applyFont="1" applyFill="1" applyBorder="1"/>
    <xf numFmtId="3" fontId="15" fillId="3" borderId="9" xfId="0" applyNumberFormat="1" applyFont="1" applyFill="1" applyBorder="1"/>
    <xf numFmtId="166" fontId="0" fillId="3" borderId="1" xfId="1" applyNumberFormat="1" applyFont="1" applyFill="1" applyBorder="1"/>
    <xf numFmtId="0" fontId="16" fillId="0" borderId="0" xfId="0" applyFont="1"/>
    <xf numFmtId="167" fontId="0" fillId="0" borderId="0" xfId="3" applyNumberFormat="1" applyFont="1" applyFill="1" applyBorder="1" applyAlignment="1" applyProtection="1"/>
    <xf numFmtId="43" fontId="0" fillId="0" borderId="0" xfId="1" applyFont="1"/>
    <xf numFmtId="0" fontId="5" fillId="0" borderId="5" xfId="2" applyFont="1" applyBorder="1" applyAlignment="1"/>
    <xf numFmtId="0" fontId="5" fillId="0" borderId="0" xfId="2" applyFont="1" applyBorder="1" applyAlignment="1"/>
    <xf numFmtId="0" fontId="5" fillId="0" borderId="6" xfId="2" applyFont="1" applyBorder="1" applyAlignment="1"/>
    <xf numFmtId="0" fontId="17" fillId="0" borderId="0" xfId="0" applyFont="1"/>
    <xf numFmtId="0" fontId="6" fillId="2" borderId="3" xfId="2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  <xf numFmtId="10" fontId="0" fillId="0" borderId="0" xfId="4" applyNumberFormat="1" applyFont="1"/>
    <xf numFmtId="164" fontId="17" fillId="0" borderId="0" xfId="4" applyNumberFormat="1" applyFont="1"/>
    <xf numFmtId="10" fontId="0" fillId="3" borderId="3" xfId="4" applyNumberFormat="1" applyFont="1" applyFill="1" applyBorder="1"/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3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90</c:v>
                </c:pt>
                <c:pt idx="1">
                  <c:v>79</c:v>
                </c:pt>
                <c:pt idx="2">
                  <c:v>77</c:v>
                </c:pt>
                <c:pt idx="3">
                  <c:v>88</c:v>
                </c:pt>
                <c:pt idx="4">
                  <c:v>71</c:v>
                </c:pt>
                <c:pt idx="5">
                  <c:v>36</c:v>
                </c:pt>
                <c:pt idx="6">
                  <c:v>77</c:v>
                </c:pt>
                <c:pt idx="7">
                  <c:v>73</c:v>
                </c:pt>
                <c:pt idx="8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51</c:v>
                </c:pt>
                <c:pt idx="1">
                  <c:v>43</c:v>
                </c:pt>
                <c:pt idx="2">
                  <c:v>27</c:v>
                </c:pt>
                <c:pt idx="3">
                  <c:v>2</c:v>
                </c:pt>
                <c:pt idx="4">
                  <c:v>2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4</c:v>
                </c:pt>
                <c:pt idx="7">
                  <c:v>6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'Ark1'!$B$4:$B$14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'Ark1'!$D$4:$D$14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0.36000000000000004</c:v>
                </c:pt>
                <c:pt idx="2">
                  <c:v>0.64000000000000012</c:v>
                </c:pt>
                <c:pt idx="3">
                  <c:v>0.84</c:v>
                </c:pt>
                <c:pt idx="4">
                  <c:v>0.96</c:v>
                </c:pt>
                <c:pt idx="5">
                  <c:v>1</c:v>
                </c:pt>
                <c:pt idx="6">
                  <c:v>0.96</c:v>
                </c:pt>
                <c:pt idx="7">
                  <c:v>0.84000000000000008</c:v>
                </c:pt>
                <c:pt idx="8">
                  <c:v>0.6399999999999999</c:v>
                </c:pt>
                <c:pt idx="9">
                  <c:v>0.35999999999999993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D-5B4A-A3A6-7176B6F4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8512"/>
        <c:axId val="635643808"/>
      </c:lineChart>
      <c:catAx>
        <c:axId val="6292285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35643808"/>
        <c:crosses val="autoZero"/>
        <c:auto val="1"/>
        <c:lblAlgn val="ctr"/>
        <c:lblOffset val="100"/>
        <c:noMultiLvlLbl val="0"/>
      </c:catAx>
      <c:valAx>
        <c:axId val="635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292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351382</xdr:colOff>
      <xdr:row>26</xdr:row>
      <xdr:rowOff>61419</xdr:rowOff>
    </xdr:from>
    <xdr:to>
      <xdr:col>32</xdr:col>
      <xdr:colOff>99252</xdr:colOff>
      <xdr:row>59</xdr:row>
      <xdr:rowOff>70971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19</xdr:row>
      <xdr:rowOff>114300</xdr:rowOff>
    </xdr:from>
    <xdr:to>
      <xdr:col>18</xdr:col>
      <xdr:colOff>160914</xdr:colOff>
      <xdr:row>40</xdr:row>
      <xdr:rowOff>94752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0" y="3829050"/>
          <a:ext cx="8085714" cy="39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158750</xdr:colOff>
      <xdr:row>14</xdr:row>
      <xdr:rowOff>101600</xdr:rowOff>
    </xdr:from>
    <xdr:to>
      <xdr:col>14</xdr:col>
      <xdr:colOff>228600</xdr:colOff>
      <xdr:row>31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</xdr:row>
      <xdr:rowOff>165100</xdr:rowOff>
    </xdr:from>
    <xdr:to>
      <xdr:col>18</xdr:col>
      <xdr:colOff>215900</xdr:colOff>
      <xdr:row>9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00" y="355600"/>
          <a:ext cx="84582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738716</xdr:colOff>
      <xdr:row>5</xdr:row>
      <xdr:rowOff>167217</xdr:rowOff>
    </xdr:from>
    <xdr:to>
      <xdr:col>20</xdr:col>
      <xdr:colOff>450983</xdr:colOff>
      <xdr:row>12</xdr:row>
      <xdr:rowOff>148003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37183" y="2436284"/>
          <a:ext cx="8009600" cy="1343919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35983</xdr:colOff>
      <xdr:row>18</xdr:row>
      <xdr:rowOff>144992</xdr:rowOff>
    </xdr:from>
    <xdr:to>
      <xdr:col>20</xdr:col>
      <xdr:colOff>388573</xdr:colOff>
      <xdr:row>24</xdr:row>
      <xdr:rowOff>54901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64183" y="4945592"/>
          <a:ext cx="7820190" cy="1078309"/>
        </a:xfrm>
        <a:prstGeom prst="rect">
          <a:avLst/>
        </a:prstGeom>
      </xdr:spPr>
    </xdr:pic>
    <xdr:clientData/>
  </xdr:twoCellAnchor>
  <xdr:twoCellAnchor editAs="oneCell">
    <xdr:from>
      <xdr:col>11</xdr:col>
      <xdr:colOff>64558</xdr:colOff>
      <xdr:row>22</xdr:row>
      <xdr:rowOff>85725</xdr:rowOff>
    </xdr:from>
    <xdr:to>
      <xdr:col>19</xdr:col>
      <xdr:colOff>731529</xdr:colOff>
      <xdr:row>27</xdr:row>
      <xdr:rowOff>24229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2758" y="5665258"/>
          <a:ext cx="7304838" cy="912171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F19DD-CD2F-334F-B471-381FF632B496}">
  <sheetPr codeName="Ark14">
    <tabColor rgb="FFFFC000"/>
  </sheetPr>
  <dimension ref="A1:AF50"/>
  <sheetViews>
    <sheetView topLeftCell="A2" workbookViewId="0">
      <selection activeCell="U2" sqref="U2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31" width="9.1640625" style="3" customWidth="1"/>
    <col min="32" max="16384" width="9.1640625" style="3"/>
  </cols>
  <sheetData>
    <row r="1" spans="1:32" ht="21" x14ac:dyDescent="0.25">
      <c r="C1" s="97" t="s">
        <v>22</v>
      </c>
      <c r="D1" s="98"/>
      <c r="E1" s="98"/>
      <c r="F1" s="98"/>
      <c r="G1" s="98"/>
      <c r="H1" s="98"/>
      <c r="I1" s="98"/>
      <c r="J1" s="98"/>
      <c r="K1" s="99"/>
      <c r="L1" s="94" t="s">
        <v>69</v>
      </c>
      <c r="M1" s="97">
        <v>2017</v>
      </c>
      <c r="N1" s="98"/>
      <c r="O1" s="98"/>
      <c r="P1" s="98"/>
      <c r="Q1" s="98"/>
      <c r="R1" s="98"/>
      <c r="S1" s="98"/>
      <c r="T1" s="98"/>
      <c r="U1" s="99"/>
      <c r="V1" s="94" t="s">
        <v>69</v>
      </c>
      <c r="W1" s="97">
        <v>2021</v>
      </c>
      <c r="X1" s="98"/>
      <c r="Y1" s="98"/>
      <c r="Z1" s="98"/>
      <c r="AA1" s="98"/>
      <c r="AB1" s="98"/>
      <c r="AC1" s="98"/>
      <c r="AD1" s="98"/>
      <c r="AE1" s="99"/>
      <c r="AF1" s="94" t="s">
        <v>69</v>
      </c>
    </row>
    <row r="2" spans="1:32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8"/>
      <c r="M2" s="7" t="s">
        <v>25</v>
      </c>
      <c r="N2" s="8" t="s">
        <v>26</v>
      </c>
      <c r="O2" s="8" t="s">
        <v>27</v>
      </c>
      <c r="P2" s="8" t="s">
        <v>28</v>
      </c>
      <c r="Q2" s="8" t="s">
        <v>29</v>
      </c>
      <c r="R2" s="8" t="s">
        <v>30</v>
      </c>
      <c r="S2" s="8" t="s">
        <v>31</v>
      </c>
      <c r="T2" s="8" t="s">
        <v>32</v>
      </c>
      <c r="U2" s="9" t="s">
        <v>33</v>
      </c>
      <c r="V2" s="8"/>
      <c r="W2" s="7" t="s">
        <v>25</v>
      </c>
      <c r="X2" s="8" t="s">
        <v>26</v>
      </c>
      <c r="Y2" s="8" t="s">
        <v>27</v>
      </c>
      <c r="Z2" s="8" t="s">
        <v>28</v>
      </c>
      <c r="AA2" s="8" t="s">
        <v>29</v>
      </c>
      <c r="AB2" s="8" t="s">
        <v>30</v>
      </c>
      <c r="AC2" s="8" t="s">
        <v>31</v>
      </c>
      <c r="AD2" s="8" t="s">
        <v>32</v>
      </c>
      <c r="AE2" s="9" t="s">
        <v>33</v>
      </c>
      <c r="AF2" s="8"/>
    </row>
    <row r="3" spans="1:32" x14ac:dyDescent="0.2">
      <c r="A3" s="3" t="s">
        <v>56</v>
      </c>
      <c r="B3" s="4" t="s">
        <v>35</v>
      </c>
      <c r="C3" s="10">
        <f t="shared" ref="C3:AE3" si="0">C30/SUM(C$30:C$48)</f>
        <v>6.2770857220591947E-2</v>
      </c>
      <c r="D3" s="74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12">
        <f t="shared" si="0"/>
        <v>3.8597201146518295E-2</v>
      </c>
      <c r="L3" s="11">
        <f>L30/$C$50</f>
        <v>5.5392034427716723E-2</v>
      </c>
      <c r="M3" s="10">
        <f t="shared" si="0"/>
        <v>6.4355069686258898E-2</v>
      </c>
      <c r="N3" s="11">
        <f t="shared" si="0"/>
        <v>6.3373519444275786E-2</v>
      </c>
      <c r="O3" s="11">
        <f t="shared" si="0"/>
        <v>5.2209388793756265E-2</v>
      </c>
      <c r="P3" s="11">
        <f t="shared" si="0"/>
        <v>5.5465524402061941E-2</v>
      </c>
      <c r="Q3" s="11">
        <f t="shared" si="0"/>
        <v>4.4225007384901045E-2</v>
      </c>
      <c r="R3" s="11">
        <f t="shared" si="0"/>
        <v>4.8708204531919118E-2</v>
      </c>
      <c r="S3" s="11">
        <f t="shared" si="0"/>
        <v>4.616627540833794E-2</v>
      </c>
      <c r="T3" s="11">
        <f t="shared" si="0"/>
        <v>3.9926910374414093E-2</v>
      </c>
      <c r="U3" s="12">
        <f t="shared" si="0"/>
        <v>3.0318192479086858E-2</v>
      </c>
      <c r="V3" s="11">
        <f>V30/$M$50</f>
        <v>5.4750121746225518E-2</v>
      </c>
      <c r="W3" s="10">
        <f t="shared" si="0"/>
        <v>6.2988738744488723E-2</v>
      </c>
      <c r="X3" s="11">
        <f t="shared" si="0"/>
        <v>5.9245426785271046E-2</v>
      </c>
      <c r="Y3" s="11">
        <f t="shared" si="0"/>
        <v>4.9745107983323343E-2</v>
      </c>
      <c r="Z3" s="11">
        <f t="shared" si="0"/>
        <v>4.7766092603049128E-2</v>
      </c>
      <c r="AA3" s="11">
        <f t="shared" si="0"/>
        <v>4.0647020323510162E-2</v>
      </c>
      <c r="AB3" s="11">
        <f t="shared" si="0"/>
        <v>5.2635686967381204E-2</v>
      </c>
      <c r="AC3" s="11">
        <f t="shared" si="0"/>
        <v>5.6702757835125482E-2</v>
      </c>
      <c r="AD3" s="11">
        <f t="shared" si="0"/>
        <v>4.3145972823298823E-2</v>
      </c>
      <c r="AE3" s="12">
        <f t="shared" si="0"/>
        <v>3.4715097538436913E-2</v>
      </c>
      <c r="AF3" s="11">
        <f>AF30/$W$50</f>
        <v>5.391958403690901E-2</v>
      </c>
    </row>
    <row r="4" spans="1:32" x14ac:dyDescent="0.2">
      <c r="B4" s="4" t="s">
        <v>36</v>
      </c>
      <c r="C4" s="10">
        <f t="shared" ref="C4:AE4" si="1">C31/SUM(C$30:C$48)</f>
        <v>0.10444357310329927</v>
      </c>
      <c r="D4" s="88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12">
        <f t="shared" si="1"/>
        <v>0.13634800202326758</v>
      </c>
      <c r="L4" s="11">
        <f t="shared" ref="L4:L21" si="2">L31/$C$50</f>
        <v>0.11378091948875185</v>
      </c>
      <c r="M4" s="10">
        <f t="shared" si="1"/>
        <v>0.11073017315752479</v>
      </c>
      <c r="N4" s="11">
        <f t="shared" si="1"/>
        <v>0.11410651680642978</v>
      </c>
      <c r="O4" s="11">
        <f t="shared" si="1"/>
        <v>0.14251836893415837</v>
      </c>
      <c r="P4" s="11">
        <f t="shared" si="1"/>
        <v>6.3837064423397968E-2</v>
      </c>
      <c r="Q4" s="11">
        <f t="shared" si="1"/>
        <v>0.13144068869477149</v>
      </c>
      <c r="R4" s="11">
        <f t="shared" si="1"/>
        <v>9.2765378179858762E-2</v>
      </c>
      <c r="S4" s="11">
        <f t="shared" si="1"/>
        <v>6.6946562610713967E-2</v>
      </c>
      <c r="T4" s="11">
        <f t="shared" si="1"/>
        <v>0.10134375957598937</v>
      </c>
      <c r="U4" s="12">
        <f t="shared" si="1"/>
        <v>0.17084668907825815</v>
      </c>
      <c r="V4" s="11">
        <f t="shared" ref="V4:V21" si="3">V31/$M$50</f>
        <v>0.11509830724883466</v>
      </c>
      <c r="W4" s="10">
        <f t="shared" si="1"/>
        <v>0.12204459058915437</v>
      </c>
      <c r="X4" s="11">
        <f t="shared" si="1"/>
        <v>0.11192470430681667</v>
      </c>
      <c r="Y4" s="11">
        <f t="shared" si="1"/>
        <v>0.16702836743968544</v>
      </c>
      <c r="Z4" s="11">
        <f t="shared" si="1"/>
        <v>6.6876058723884815E-2</v>
      </c>
      <c r="AA4" s="11">
        <f t="shared" si="1"/>
        <v>0.14841857420928711</v>
      </c>
      <c r="AB4" s="11">
        <f t="shared" si="1"/>
        <v>0.10339811680893488</v>
      </c>
      <c r="AC4" s="11">
        <f t="shared" si="1"/>
        <v>8.0861423313918712E-2</v>
      </c>
      <c r="AD4" s="11">
        <f t="shared" si="1"/>
        <v>0.11067117419309577</v>
      </c>
      <c r="AE4" s="12">
        <f t="shared" si="1"/>
        <v>0.18476639526169114</v>
      </c>
      <c r="AF4" s="11">
        <f t="shared" ref="AF4:AF21" si="4">AF31/$W$50</f>
        <v>0.12463914777886705</v>
      </c>
    </row>
    <row r="5" spans="1:32" x14ac:dyDescent="0.2">
      <c r="B5" s="4" t="s">
        <v>37</v>
      </c>
      <c r="C5" s="10">
        <f t="shared" ref="C5:AE14" si="5">C32/SUM(C$30:C$48)</f>
        <v>0.12117599046148184</v>
      </c>
      <c r="D5" s="11">
        <f t="shared" si="5"/>
        <v>8.7712485978082663E-2</v>
      </c>
      <c r="E5" s="11">
        <f t="shared" si="5"/>
        <v>0.13658199076071514</v>
      </c>
      <c r="F5" s="11">
        <f t="shared" si="5"/>
        <v>6.2154914024294051E-2</v>
      </c>
      <c r="G5" s="11">
        <f t="shared" si="5"/>
        <v>0.24454214675560945</v>
      </c>
      <c r="H5" s="11">
        <f t="shared" si="5"/>
        <v>0.36203700692660401</v>
      </c>
      <c r="I5" s="11">
        <f t="shared" si="5"/>
        <v>1.9072201445702479E-2</v>
      </c>
      <c r="J5" s="11">
        <f t="shared" si="5"/>
        <v>0.18896579067582592</v>
      </c>
      <c r="K5" s="12">
        <f t="shared" si="5"/>
        <v>0.19301298263361996</v>
      </c>
      <c r="L5" s="11">
        <f t="shared" si="2"/>
        <v>0.12357029662038792</v>
      </c>
      <c r="M5" s="10">
        <f t="shared" si="5"/>
        <v>0.12995741291246488</v>
      </c>
      <c r="N5" s="11">
        <f t="shared" si="5"/>
        <v>7.8791313323483575E-2</v>
      </c>
      <c r="O5" s="11">
        <f t="shared" si="5"/>
        <v>0.1324678159900122</v>
      </c>
      <c r="P5" s="11">
        <f t="shared" si="5"/>
        <v>6.3869638509084101E-2</v>
      </c>
      <c r="Q5" s="11">
        <f t="shared" si="5"/>
        <v>0.23054606068278685</v>
      </c>
      <c r="R5" s="11">
        <f t="shared" si="5"/>
        <v>0.327316298460055</v>
      </c>
      <c r="S5" s="11">
        <f t="shared" si="5"/>
        <v>2.5753517186118662E-2</v>
      </c>
      <c r="T5" s="11">
        <f t="shared" si="5"/>
        <v>0.19323353497293186</v>
      </c>
      <c r="U5" s="12">
        <f t="shared" si="5"/>
        <v>0.24183410210304121</v>
      </c>
      <c r="V5" s="11">
        <f t="shared" si="3"/>
        <v>0.12592440977882391</v>
      </c>
      <c r="W5" s="10">
        <f t="shared" si="5"/>
        <v>0.11125691542186945</v>
      </c>
      <c r="X5" s="11">
        <f t="shared" si="5"/>
        <v>6.5759624098777975E-2</v>
      </c>
      <c r="Y5" s="11">
        <f t="shared" si="5"/>
        <v>0.14710957722174289</v>
      </c>
      <c r="Z5" s="11">
        <f t="shared" si="5"/>
        <v>6.1070722755505367E-2</v>
      </c>
      <c r="AA5" s="11">
        <f t="shared" si="5"/>
        <v>0.27368313684156842</v>
      </c>
      <c r="AB5" s="11">
        <f t="shared" si="5"/>
        <v>0.22246347503388184</v>
      </c>
      <c r="AC5" s="11">
        <f t="shared" si="5"/>
        <v>2.9662920232975398E-2</v>
      </c>
      <c r="AD5" s="11">
        <f t="shared" si="5"/>
        <v>0.22091264255929283</v>
      </c>
      <c r="AE5" s="12">
        <f t="shared" si="5"/>
        <v>0.27753159721464277</v>
      </c>
      <c r="AF5" s="11">
        <f t="shared" si="4"/>
        <v>0.12866199627949065</v>
      </c>
    </row>
    <row r="6" spans="1:32" x14ac:dyDescent="0.2">
      <c r="B6" s="4" t="s">
        <v>38</v>
      </c>
      <c r="C6" s="10">
        <f t="shared" si="5"/>
        <v>5.5664981269340823E-2</v>
      </c>
      <c r="D6" s="11">
        <f t="shared" si="5"/>
        <v>3.3039951678315645E-2</v>
      </c>
      <c r="E6" s="11">
        <f t="shared" si="5"/>
        <v>2.7096991444716875E-2</v>
      </c>
      <c r="F6" s="11">
        <f t="shared" si="5"/>
        <v>1.8116422148603879E-2</v>
      </c>
      <c r="G6" s="11">
        <f t="shared" si="5"/>
        <v>2.809783707297352E-2</v>
      </c>
      <c r="H6" s="11">
        <f t="shared" si="5"/>
        <v>2.513739390588924E-2</v>
      </c>
      <c r="I6" s="11">
        <f t="shared" si="5"/>
        <v>7.3913631184948217E-2</v>
      </c>
      <c r="J6" s="11">
        <f t="shared" si="5"/>
        <v>3.7863834995388763E-2</v>
      </c>
      <c r="K6" s="12">
        <f t="shared" si="5"/>
        <v>2.5661777103355252E-2</v>
      </c>
      <c r="L6" s="11">
        <f t="shared" si="2"/>
        <v>3.9531800852080246E-2</v>
      </c>
      <c r="M6" s="10">
        <f t="shared" si="5"/>
        <v>5.0641303357150974E-2</v>
      </c>
      <c r="N6" s="11">
        <f t="shared" si="5"/>
        <v>3.0079989925362226E-2</v>
      </c>
      <c r="O6" s="11">
        <f t="shared" si="5"/>
        <v>2.3815144052012908E-2</v>
      </c>
      <c r="P6" s="11">
        <f t="shared" si="5"/>
        <v>1.6702362435564388E-2</v>
      </c>
      <c r="Q6" s="11">
        <f t="shared" si="5"/>
        <v>2.3367936869645948E-2</v>
      </c>
      <c r="R6" s="11">
        <f t="shared" si="5"/>
        <v>2.0461699895068207E-2</v>
      </c>
      <c r="S6" s="11">
        <f t="shared" si="5"/>
        <v>8.3756874613018478E-2</v>
      </c>
      <c r="T6" s="11">
        <f t="shared" si="5"/>
        <v>3.7044182905653096E-2</v>
      </c>
      <c r="U6" s="12">
        <f t="shared" si="5"/>
        <v>2.0788054100539442E-2</v>
      </c>
      <c r="V6" s="11">
        <f t="shared" si="3"/>
        <v>3.8841484151756887E-2</v>
      </c>
      <c r="W6" s="10">
        <f t="shared" si="5"/>
        <v>4.8680485170935699E-2</v>
      </c>
      <c r="X6" s="11">
        <f t="shared" si="5"/>
        <v>2.7984783851024896E-2</v>
      </c>
      <c r="Y6" s="11">
        <f t="shared" si="5"/>
        <v>2.0073569607914166E-2</v>
      </c>
      <c r="Z6" s="11">
        <f t="shared" si="5"/>
        <v>1.6551383399209488E-2</v>
      </c>
      <c r="AA6" s="11">
        <f t="shared" si="5"/>
        <v>2.0247010123505063E-2</v>
      </c>
      <c r="AB6" s="11">
        <f t="shared" si="5"/>
        <v>2.7502820529195136E-2</v>
      </c>
      <c r="AC6" s="11">
        <f t="shared" si="5"/>
        <v>8.0121897652626436E-2</v>
      </c>
      <c r="AD6" s="11">
        <f t="shared" si="5"/>
        <v>3.4648320858710092E-2</v>
      </c>
      <c r="AE6" s="12">
        <f t="shared" si="5"/>
        <v>1.9223912742936559E-2</v>
      </c>
      <c r="AF6" s="11">
        <f t="shared" si="4"/>
        <v>3.85697897839248E-2</v>
      </c>
    </row>
    <row r="7" spans="1:32" x14ac:dyDescent="0.2">
      <c r="B7" s="4" t="s">
        <v>39</v>
      </c>
      <c r="C7" s="10">
        <f t="shared" si="5"/>
        <v>5.0356151166765166E-2</v>
      </c>
      <c r="D7" s="11">
        <f t="shared" si="5"/>
        <v>2.9517214600051772E-2</v>
      </c>
      <c r="E7" s="11">
        <f t="shared" si="5"/>
        <v>2.7014122004861675E-2</v>
      </c>
      <c r="F7" s="11">
        <f t="shared" si="5"/>
        <v>2.1568070673607824E-2</v>
      </c>
      <c r="G7" s="11">
        <f t="shared" si="5"/>
        <v>3.2633414190418437E-2</v>
      </c>
      <c r="H7" s="11">
        <f t="shared" si="5"/>
        <v>2.6568241683197293E-2</v>
      </c>
      <c r="I7" s="11">
        <f t="shared" si="5"/>
        <v>8.4720997444595353E-2</v>
      </c>
      <c r="J7" s="11">
        <f t="shared" si="5"/>
        <v>2.7279544220442851E-2</v>
      </c>
      <c r="K7" s="12">
        <f t="shared" si="5"/>
        <v>2.8649468892261002E-2</v>
      </c>
      <c r="L7" s="11">
        <f t="shared" si="2"/>
        <v>3.7918360491955766E-2</v>
      </c>
      <c r="M7" s="10">
        <f t="shared" si="5"/>
        <v>4.7513755591818183E-2</v>
      </c>
      <c r="N7" s="11">
        <f t="shared" si="5"/>
        <v>2.9875348845576941E-2</v>
      </c>
      <c r="O7" s="11">
        <f t="shared" si="5"/>
        <v>2.4782540473055486E-2</v>
      </c>
      <c r="P7" s="11">
        <f t="shared" si="5"/>
        <v>1.8575372362516999E-2</v>
      </c>
      <c r="Q7" s="11">
        <f t="shared" si="5"/>
        <v>2.6902139511330549E-2</v>
      </c>
      <c r="R7" s="11">
        <f t="shared" si="5"/>
        <v>2.5850089333824905E-2</v>
      </c>
      <c r="S7" s="11">
        <f t="shared" si="5"/>
        <v>7.6121542827059407E-2</v>
      </c>
      <c r="T7" s="11">
        <f t="shared" si="5"/>
        <v>2.8532192348287955E-2</v>
      </c>
      <c r="U7" s="12">
        <f t="shared" si="5"/>
        <v>2.1702759752951294E-2</v>
      </c>
      <c r="V7" s="11">
        <f t="shared" si="3"/>
        <v>3.7229456216437112E-2</v>
      </c>
      <c r="W7" s="10">
        <f t="shared" si="5"/>
        <v>4.4105520338424853E-2</v>
      </c>
      <c r="X7" s="11">
        <f t="shared" si="5"/>
        <v>2.4414530383232221E-2</v>
      </c>
      <c r="Y7" s="11">
        <f t="shared" si="5"/>
        <v>2.0290919389576431E-2</v>
      </c>
      <c r="Z7" s="11">
        <f t="shared" si="5"/>
        <v>1.356048842461886E-2</v>
      </c>
      <c r="AA7" s="11">
        <f t="shared" si="5"/>
        <v>1.9456509728254863E-2</v>
      </c>
      <c r="AB7" s="11">
        <f t="shared" si="5"/>
        <v>2.5076101070736743E-2</v>
      </c>
      <c r="AC7" s="11">
        <f t="shared" si="5"/>
        <v>6.357687220351349E-2</v>
      </c>
      <c r="AD7" s="11">
        <f t="shared" si="5"/>
        <v>2.4151221373041661E-2</v>
      </c>
      <c r="AE7" s="12">
        <f t="shared" si="5"/>
        <v>1.7244766540787146E-2</v>
      </c>
      <c r="AF7" s="11">
        <f t="shared" si="4"/>
        <v>3.3427938849644651E-2</v>
      </c>
    </row>
    <row r="8" spans="1:32" x14ac:dyDescent="0.2">
      <c r="B8" s="4" t="s">
        <v>40</v>
      </c>
      <c r="C8" s="10">
        <f t="shared" si="5"/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12">
        <f t="shared" si="5"/>
        <v>4.6622829202495365E-2</v>
      </c>
      <c r="L8" s="11">
        <f t="shared" si="2"/>
        <v>5.3172836209965435E-2</v>
      </c>
      <c r="M8" s="10">
        <f t="shared" si="5"/>
        <v>5.386498732125846E-2</v>
      </c>
      <c r="N8" s="11">
        <f t="shared" si="5"/>
        <v>5.9411128426894784E-2</v>
      </c>
      <c r="O8" s="11">
        <f t="shared" si="5"/>
        <v>5.5957538255821095E-2</v>
      </c>
      <c r="P8" s="11">
        <f t="shared" si="5"/>
        <v>3.2533368079024731E-2</v>
      </c>
      <c r="Q8" s="11">
        <f t="shared" si="5"/>
        <v>4.3381018694349495E-2</v>
      </c>
      <c r="R8" s="11">
        <f t="shared" si="5"/>
        <v>3.2046737188395111E-2</v>
      </c>
      <c r="S8" s="11">
        <f t="shared" si="5"/>
        <v>5.4453888357277901E-2</v>
      </c>
      <c r="T8" s="11">
        <f t="shared" si="5"/>
        <v>4.336575455958961E-2</v>
      </c>
      <c r="U8" s="12">
        <f t="shared" si="5"/>
        <v>4.3812055351418966E-2</v>
      </c>
      <c r="V8" s="11">
        <f t="shared" si="3"/>
        <v>5.2434245725132354E-2</v>
      </c>
      <c r="W8" s="10">
        <f t="shared" si="5"/>
        <v>5.1793861071185124E-2</v>
      </c>
      <c r="X8" s="11">
        <f t="shared" si="5"/>
        <v>5.0534816465304756E-2</v>
      </c>
      <c r="Y8" s="11">
        <f t="shared" si="5"/>
        <v>5.1940011460261212E-2</v>
      </c>
      <c r="Z8" s="11">
        <f t="shared" si="5"/>
        <v>2.9282538114059852E-2</v>
      </c>
      <c r="AA8" s="11">
        <f t="shared" si="5"/>
        <v>3.6133518066759032E-2</v>
      </c>
      <c r="AB8" s="11">
        <f t="shared" si="5"/>
        <v>3.505971007088575E-2</v>
      </c>
      <c r="AC8" s="11">
        <f t="shared" si="5"/>
        <v>5.7246234747283235E-2</v>
      </c>
      <c r="AD8" s="11">
        <f t="shared" si="5"/>
        <v>3.5349881392422268E-2</v>
      </c>
      <c r="AE8" s="12">
        <f t="shared" si="5"/>
        <v>3.7887552480117583E-2</v>
      </c>
      <c r="AF8" s="11">
        <f t="shared" si="4"/>
        <v>4.8122664907770916E-2</v>
      </c>
    </row>
    <row r="9" spans="1:32" x14ac:dyDescent="0.2">
      <c r="B9" s="4" t="s">
        <v>41</v>
      </c>
      <c r="C9" s="10">
        <f t="shared" si="5"/>
        <v>4.6719762588752003E-2</v>
      </c>
      <c r="D9" s="11">
        <f t="shared" si="5"/>
        <v>5.8195271378030891E-2</v>
      </c>
      <c r="E9" s="11">
        <f t="shared" si="5"/>
        <v>5.4400498795104654E-2</v>
      </c>
      <c r="F9" s="11">
        <f t="shared" si="5"/>
        <v>4.2498816848083293E-2</v>
      </c>
      <c r="G9" s="11">
        <f t="shared" si="5"/>
        <v>4.3043763897311502E-2</v>
      </c>
      <c r="H9" s="11">
        <f t="shared" si="5"/>
        <v>3.0307957464797891E-2</v>
      </c>
      <c r="I9" s="11">
        <f t="shared" si="5"/>
        <v>2.6287840264680704E-2</v>
      </c>
      <c r="J9" s="11">
        <f t="shared" si="5"/>
        <v>4.5388334870411391E-2</v>
      </c>
      <c r="K9" s="12">
        <f t="shared" si="5"/>
        <v>4.2003034901365706E-2</v>
      </c>
      <c r="L9" s="11">
        <f t="shared" si="2"/>
        <v>4.8753100561546144E-2</v>
      </c>
      <c r="M9" s="10">
        <f t="shared" si="5"/>
        <v>4.8839686021671845E-2</v>
      </c>
      <c r="N9" s="11">
        <f t="shared" si="5"/>
        <v>5.3134719045787877E-2</v>
      </c>
      <c r="O9" s="11">
        <f t="shared" si="5"/>
        <v>5.755121811446387E-2</v>
      </c>
      <c r="P9" s="11">
        <f t="shared" si="5"/>
        <v>4.2012427013689256E-2</v>
      </c>
      <c r="Q9" s="11">
        <f t="shared" si="5"/>
        <v>4.3328269401190021E-2</v>
      </c>
      <c r="R9" s="11">
        <f t="shared" si="5"/>
        <v>3.6896287683276144E-2</v>
      </c>
      <c r="S9" s="11">
        <f t="shared" si="5"/>
        <v>2.9061278007529376E-2</v>
      </c>
      <c r="T9" s="11">
        <f t="shared" si="5"/>
        <v>3.9308372393912223E-2</v>
      </c>
      <c r="U9" s="12">
        <f t="shared" si="5"/>
        <v>4.2006098037682744E-2</v>
      </c>
      <c r="V9" s="11">
        <f t="shared" si="3"/>
        <v>4.7991857361808894E-2</v>
      </c>
      <c r="W9" s="10">
        <f t="shared" si="5"/>
        <v>4.7891610096579752E-2</v>
      </c>
      <c r="X9" s="11">
        <f t="shared" si="5"/>
        <v>4.9847896234638096E-2</v>
      </c>
      <c r="Y9" s="11">
        <f t="shared" si="5"/>
        <v>5.7352350341502614E-2</v>
      </c>
      <c r="Z9" s="11">
        <f t="shared" si="5"/>
        <v>4.2887140033879168E-2</v>
      </c>
      <c r="AA9" s="11">
        <f t="shared" si="5"/>
        <v>4.6138023069011533E-2</v>
      </c>
      <c r="AB9" s="11">
        <f t="shared" si="5"/>
        <v>4.3673854581319935E-2</v>
      </c>
      <c r="AC9" s="11">
        <f t="shared" si="5"/>
        <v>3.4184449611749025E-2</v>
      </c>
      <c r="AD9" s="11">
        <f t="shared" si="5"/>
        <v>3.8015811420528539E-2</v>
      </c>
      <c r="AE9" s="12">
        <f t="shared" si="5"/>
        <v>4.1991370340456802E-2</v>
      </c>
      <c r="AF9" s="11">
        <f t="shared" si="4"/>
        <v>4.6664486581179977E-2</v>
      </c>
    </row>
    <row r="10" spans="1:32" x14ac:dyDescent="0.2">
      <c r="B10" s="4" t="s">
        <v>42</v>
      </c>
      <c r="C10" s="10">
        <f t="shared" si="5"/>
        <v>4.1111424844730439E-2</v>
      </c>
      <c r="D10" s="11">
        <f t="shared" si="5"/>
        <v>4.0046595909914572E-2</v>
      </c>
      <c r="E10" s="11">
        <f t="shared" si="5"/>
        <v>2.8017762998663567E-2</v>
      </c>
      <c r="F10" s="11">
        <f t="shared" si="5"/>
        <v>4.1710048903612559E-2</v>
      </c>
      <c r="G10" s="11">
        <f t="shared" si="5"/>
        <v>2.6733373761875883E-2</v>
      </c>
      <c r="H10" s="11">
        <f t="shared" si="5"/>
        <v>2.8747032616825468E-2</v>
      </c>
      <c r="I10" s="11">
        <f t="shared" si="5"/>
        <v>2.8064393622430916E-2</v>
      </c>
      <c r="J10" s="11">
        <f t="shared" si="5"/>
        <v>2.7512260711422931E-2</v>
      </c>
      <c r="K10" s="12">
        <f t="shared" si="5"/>
        <v>2.2883156297420333E-2</v>
      </c>
      <c r="L10" s="11">
        <f t="shared" si="2"/>
        <v>3.4587768858878515E-2</v>
      </c>
      <c r="M10" s="10">
        <f t="shared" si="5"/>
        <v>3.8618035900003372E-2</v>
      </c>
      <c r="N10" s="11">
        <f t="shared" si="5"/>
        <v>3.6010083632986342E-2</v>
      </c>
      <c r="O10" s="11">
        <f t="shared" si="5"/>
        <v>2.6531767852147989E-2</v>
      </c>
      <c r="P10" s="11">
        <f t="shared" si="5"/>
        <v>3.9292490858897203E-2</v>
      </c>
      <c r="Q10" s="11">
        <f t="shared" si="5"/>
        <v>2.5235261847491242E-2</v>
      </c>
      <c r="R10" s="11">
        <f t="shared" si="5"/>
        <v>2.894132327500638E-2</v>
      </c>
      <c r="S10" s="11">
        <f t="shared" si="5"/>
        <v>4.1246022574888165E-2</v>
      </c>
      <c r="T10" s="11">
        <f t="shared" si="5"/>
        <v>2.7238369783568455E-2</v>
      </c>
      <c r="U10" s="12">
        <f t="shared" si="5"/>
        <v>2.0256430302556486E-2</v>
      </c>
      <c r="V10" s="11">
        <f t="shared" si="3"/>
        <v>3.32413318253858E-2</v>
      </c>
      <c r="W10" s="10">
        <f t="shared" si="5"/>
        <v>3.8145556386696859E-2</v>
      </c>
      <c r="X10" s="11">
        <f t="shared" si="5"/>
        <v>3.5491840657596238E-2</v>
      </c>
      <c r="Y10" s="11">
        <f t="shared" si="5"/>
        <v>2.5024863497750759E-2</v>
      </c>
      <c r="Z10" s="11">
        <f t="shared" si="5"/>
        <v>3.817581874647092E-2</v>
      </c>
      <c r="AA10" s="11">
        <f t="shared" si="5"/>
        <v>2.3196511598255799E-2</v>
      </c>
      <c r="AB10" s="11">
        <f t="shared" si="5"/>
        <v>3.1973093215829022E-2</v>
      </c>
      <c r="AC10" s="11">
        <f t="shared" si="5"/>
        <v>3.961425547385479E-2</v>
      </c>
      <c r="AD10" s="11">
        <f t="shared" si="5"/>
        <v>2.6019126294050329E-2</v>
      </c>
      <c r="AE10" s="12">
        <f t="shared" si="5"/>
        <v>1.6029628982849826E-2</v>
      </c>
      <c r="AF10" s="11">
        <f t="shared" si="4"/>
        <v>3.2332915039566465E-2</v>
      </c>
    </row>
    <row r="11" spans="1:32" x14ac:dyDescent="0.2">
      <c r="B11" s="4" t="s">
        <v>43</v>
      </c>
      <c r="C11" s="10">
        <f t="shared" si="5"/>
        <v>2.0145889943516519E-2</v>
      </c>
      <c r="D11" s="11">
        <f t="shared" si="5"/>
        <v>2.4329105185952195E-2</v>
      </c>
      <c r="E11" s="11">
        <f t="shared" si="5"/>
        <v>2.1444769491418408E-2</v>
      </c>
      <c r="F11" s="11">
        <f t="shared" si="5"/>
        <v>4.4290897617920807E-2</v>
      </c>
      <c r="G11" s="11">
        <f t="shared" si="5"/>
        <v>1.5691328077622801E-2</v>
      </c>
      <c r="H11" s="11">
        <f t="shared" si="5"/>
        <v>1.1219147344801795E-2</v>
      </c>
      <c r="I11" s="11">
        <f t="shared" si="5"/>
        <v>1.8119556891546568E-2</v>
      </c>
      <c r="J11" s="11">
        <f t="shared" si="5"/>
        <v>1.4238801596262746E-2</v>
      </c>
      <c r="K11" s="12">
        <f t="shared" si="5"/>
        <v>2.0455235204855843E-2</v>
      </c>
      <c r="L11" s="11">
        <f t="shared" si="2"/>
        <v>2.2001785693779356E-2</v>
      </c>
      <c r="M11" s="10">
        <f t="shared" si="5"/>
        <v>2.0576892103971924E-2</v>
      </c>
      <c r="N11" s="11">
        <f t="shared" si="5"/>
        <v>2.5175350419739093E-2</v>
      </c>
      <c r="O11" s="11">
        <f t="shared" si="5"/>
        <v>2.2669004427646525E-2</v>
      </c>
      <c r="P11" s="11">
        <f t="shared" si="5"/>
        <v>5.1727648069578247E-2</v>
      </c>
      <c r="Q11" s="11">
        <f t="shared" si="5"/>
        <v>1.7681563067054901E-2</v>
      </c>
      <c r="R11" s="11">
        <f t="shared" si="5"/>
        <v>1.144323757125436E-2</v>
      </c>
      <c r="S11" s="11">
        <f t="shared" si="5"/>
        <v>1.7830122145442145E-2</v>
      </c>
      <c r="T11" s="11">
        <f t="shared" si="5"/>
        <v>1.4538479871979662E-2</v>
      </c>
      <c r="U11" s="12">
        <f t="shared" si="5"/>
        <v>1.6581971698850756E-2</v>
      </c>
      <c r="V11" s="11">
        <f t="shared" si="3"/>
        <v>2.1997167202907012E-2</v>
      </c>
      <c r="W11" s="10">
        <f t="shared" si="5"/>
        <v>2.0611595187096148E-2</v>
      </c>
      <c r="X11" s="11">
        <f t="shared" si="5"/>
        <v>2.5190923417052938E-2</v>
      </c>
      <c r="Y11" s="11">
        <f t="shared" si="5"/>
        <v>2.1907870038003281E-2</v>
      </c>
      <c r="Z11" s="11">
        <f t="shared" si="5"/>
        <v>5.0721696781479392E-2</v>
      </c>
      <c r="AA11" s="11">
        <f t="shared" si="5"/>
        <v>1.67960083980042E-2</v>
      </c>
      <c r="AB11" s="11">
        <f t="shared" si="5"/>
        <v>1.7426967806940984E-2</v>
      </c>
      <c r="AC11" s="11">
        <f t="shared" si="5"/>
        <v>2.210387605748447E-2</v>
      </c>
      <c r="AD11" s="11">
        <f t="shared" si="5"/>
        <v>1.597804115529481E-2</v>
      </c>
      <c r="AE11" s="12">
        <f t="shared" si="5"/>
        <v>1.5542118705114492E-2</v>
      </c>
      <c r="AF11" s="11">
        <f t="shared" si="4"/>
        <v>2.1910206657508455E-2</v>
      </c>
    </row>
    <row r="12" spans="1:32" x14ac:dyDescent="0.2">
      <c r="B12" s="4" t="s">
        <v>44</v>
      </c>
      <c r="C12" s="10">
        <f t="shared" si="5"/>
        <v>2.6552152625435973E-2</v>
      </c>
      <c r="D12" s="11">
        <f t="shared" si="5"/>
        <v>3.8534386055742512E-2</v>
      </c>
      <c r="E12" s="11">
        <f t="shared" si="5"/>
        <v>3.5276073619631899E-2</v>
      </c>
      <c r="F12" s="11">
        <f t="shared" si="5"/>
        <v>8.5414103170847133E-2</v>
      </c>
      <c r="G12" s="11">
        <f t="shared" si="5"/>
        <v>2.7744087325651909E-2</v>
      </c>
      <c r="H12" s="11">
        <f t="shared" si="5"/>
        <v>1.4958863126402393E-2</v>
      </c>
      <c r="I12" s="11">
        <f t="shared" si="5"/>
        <v>1.9065764658174399E-2</v>
      </c>
      <c r="J12" s="11">
        <f t="shared" si="5"/>
        <v>2.213392403099439E-2</v>
      </c>
      <c r="K12" s="12">
        <f t="shared" si="5"/>
        <v>2.8359467206204688E-2</v>
      </c>
      <c r="L12" s="11">
        <f t="shared" si="2"/>
        <v>3.3673749153087358E-2</v>
      </c>
      <c r="M12" s="10">
        <f t="shared" si="5"/>
        <v>2.6516111552949195E-2</v>
      </c>
      <c r="N12" s="11">
        <f t="shared" si="5"/>
        <v>3.8868312340756633E-2</v>
      </c>
      <c r="O12" s="11">
        <f t="shared" si="5"/>
        <v>3.8403864127876434E-2</v>
      </c>
      <c r="P12" s="11">
        <f t="shared" si="5"/>
        <v>0.10380546756028242</v>
      </c>
      <c r="Q12" s="11">
        <f t="shared" si="5"/>
        <v>3.0710638477444402E-2</v>
      </c>
      <c r="R12" s="11">
        <f t="shared" si="5"/>
        <v>1.9511641757182157E-2</v>
      </c>
      <c r="S12" s="11">
        <f t="shared" si="5"/>
        <v>2.1661032325994894E-2</v>
      </c>
      <c r="T12" s="11">
        <f t="shared" si="5"/>
        <v>2.4588303390042105E-2</v>
      </c>
      <c r="U12" s="12">
        <f t="shared" si="5"/>
        <v>2.8566961144554766E-2</v>
      </c>
      <c r="V12" s="11">
        <f t="shared" si="3"/>
        <v>3.4193719739666714E-2</v>
      </c>
      <c r="W12" s="10">
        <f t="shared" si="5"/>
        <v>2.7885074432533311E-2</v>
      </c>
      <c r="X12" s="11">
        <f t="shared" si="5"/>
        <v>3.9890439109428126E-2</v>
      </c>
      <c r="Y12" s="11">
        <f t="shared" si="5"/>
        <v>3.6816089152928624E-2</v>
      </c>
      <c r="Z12" s="11">
        <f t="shared" si="5"/>
        <v>0.12879376058723885</v>
      </c>
      <c r="AA12" s="11">
        <f t="shared" si="5"/>
        <v>2.8305014152507076E-2</v>
      </c>
      <c r="AB12" s="11">
        <f t="shared" si="5"/>
        <v>2.3805975974058226E-2</v>
      </c>
      <c r="AC12" s="11">
        <f t="shared" si="5"/>
        <v>2.6948017301922519E-2</v>
      </c>
      <c r="AD12" s="11">
        <f t="shared" si="5"/>
        <v>2.4620389979961677E-2</v>
      </c>
      <c r="AE12" s="12">
        <f t="shared" si="5"/>
        <v>2.7897229922944272E-2</v>
      </c>
      <c r="AF12" s="11">
        <f t="shared" si="4"/>
        <v>3.4618182121468756E-2</v>
      </c>
    </row>
    <row r="13" spans="1:32" x14ac:dyDescent="0.2">
      <c r="B13" s="4" t="s">
        <v>45</v>
      </c>
      <c r="C13" s="10">
        <f t="shared" si="5"/>
        <v>6.2258722016898173E-2</v>
      </c>
      <c r="D13" s="11">
        <f t="shared" si="5"/>
        <v>9.7251704202260758E-2</v>
      </c>
      <c r="E13" s="11">
        <f t="shared" si="5"/>
        <v>9.5326163592166599E-2</v>
      </c>
      <c r="F13" s="11">
        <f t="shared" si="5"/>
        <v>0.1614450228742704</v>
      </c>
      <c r="G13" s="11">
        <f t="shared" si="5"/>
        <v>6.6542854255104103E-2</v>
      </c>
      <c r="H13" s="11">
        <f t="shared" si="5"/>
        <v>3.4470423726057686E-2</v>
      </c>
      <c r="I13" s="11">
        <f t="shared" si="5"/>
        <v>8.1238695391903815E-2</v>
      </c>
      <c r="J13" s="11">
        <f t="shared" si="5"/>
        <v>6.8160074469277118E-2</v>
      </c>
      <c r="K13" s="12">
        <f t="shared" si="5"/>
        <v>7.3019726858877088E-2</v>
      </c>
      <c r="L13" s="11">
        <f t="shared" si="2"/>
        <v>8.4433602048667331E-2</v>
      </c>
      <c r="M13" s="10">
        <f t="shared" si="5"/>
        <v>7.0341732973592516E-2</v>
      </c>
      <c r="N13" s="11">
        <f t="shared" si="5"/>
        <v>0.11120556084024279</v>
      </c>
      <c r="O13" s="11">
        <f t="shared" si="5"/>
        <v>9.8514794070091893E-2</v>
      </c>
      <c r="P13" s="11">
        <f t="shared" si="5"/>
        <v>0.17176315382297613</v>
      </c>
      <c r="Q13" s="11">
        <f t="shared" si="5"/>
        <v>6.7983289023927085E-2</v>
      </c>
      <c r="R13" s="11">
        <f t="shared" si="5"/>
        <v>4.1051019540001704E-2</v>
      </c>
      <c r="S13" s="11">
        <f t="shared" si="5"/>
        <v>6.2569325567766051E-2</v>
      </c>
      <c r="T13" s="11">
        <f t="shared" si="5"/>
        <v>5.6150764376752052E-2</v>
      </c>
      <c r="U13" s="12">
        <f t="shared" si="5"/>
        <v>6.9197091705105157E-2</v>
      </c>
      <c r="V13" s="11">
        <f t="shared" si="3"/>
        <v>8.5654343755645665E-2</v>
      </c>
      <c r="W13" s="10">
        <f t="shared" si="5"/>
        <v>7.3997247872717942E-2</v>
      </c>
      <c r="X13" s="11">
        <f t="shared" si="5"/>
        <v>0.12520997246546639</v>
      </c>
      <c r="Y13" s="11">
        <f t="shared" si="5"/>
        <v>0.10207536109702363</v>
      </c>
      <c r="Z13" s="11">
        <f t="shared" si="5"/>
        <v>0.18403267927724448</v>
      </c>
      <c r="AA13" s="11">
        <f t="shared" si="5"/>
        <v>5.2292026146013075E-2</v>
      </c>
      <c r="AB13" s="11">
        <f t="shared" si="5"/>
        <v>6.8260354357806308E-2</v>
      </c>
      <c r="AC13" s="11">
        <f t="shared" si="5"/>
        <v>6.6892329530649372E-2</v>
      </c>
      <c r="AD13" s="11">
        <f t="shared" si="5"/>
        <v>5.8146213984732291E-2</v>
      </c>
      <c r="AE13" s="12">
        <f t="shared" si="5"/>
        <v>6.6257740135193144E-2</v>
      </c>
      <c r="AF13" s="11">
        <f t="shared" si="4"/>
        <v>8.6634419472310417E-2</v>
      </c>
    </row>
    <row r="14" spans="1:32" x14ac:dyDescent="0.2">
      <c r="B14" s="4" t="s">
        <v>46</v>
      </c>
      <c r="C14" s="10">
        <f t="shared" si="5"/>
        <v>8.1411206844321182E-2</v>
      </c>
      <c r="D14" s="11">
        <f t="shared" si="5"/>
        <v>9.3530503063249629E-2</v>
      </c>
      <c r="E14" s="11">
        <f t="shared" si="5"/>
        <v>0.1179666207157815</v>
      </c>
      <c r="F14" s="11">
        <f t="shared" si="5"/>
        <v>0.13954251459220698</v>
      </c>
      <c r="G14" s="11">
        <f t="shared" si="5"/>
        <v>0.11586567616737417</v>
      </c>
      <c r="H14" s="11">
        <f t="shared" si="5"/>
        <v>8.7379272218789633E-2</v>
      </c>
      <c r="I14" s="11">
        <f t="shared" si="5"/>
        <v>8.0395476225725265E-2</v>
      </c>
      <c r="J14" s="11">
        <f t="shared" si="5"/>
        <v>0.12190034562708475</v>
      </c>
      <c r="K14" s="12">
        <f t="shared" si="5"/>
        <v>0.1120485584218513</v>
      </c>
      <c r="L14" s="11">
        <f t="shared" si="2"/>
        <v>0.1010101227592701</v>
      </c>
      <c r="M14" s="10">
        <f t="shared" si="5"/>
        <v>8.5142962018710355E-2</v>
      </c>
      <c r="N14" s="11">
        <f t="shared" si="5"/>
        <v>0.10133106653983417</v>
      </c>
      <c r="O14" s="11">
        <f t="shared" si="5"/>
        <v>0.12380081730670833</v>
      </c>
      <c r="P14" s="11">
        <f t="shared" ref="P14:AR14" si="6">P41/SUM(P$30:P$48)</f>
        <v>0.13447396923377608</v>
      </c>
      <c r="Q14" s="11">
        <f t="shared" si="6"/>
        <v>0.11052031902772502</v>
      </c>
      <c r="R14" s="11">
        <f t="shared" si="6"/>
        <v>9.0780182070843138E-2</v>
      </c>
      <c r="S14" s="11">
        <f t="shared" si="6"/>
        <v>7.4810358357311008E-2</v>
      </c>
      <c r="T14" s="11">
        <f t="shared" si="6"/>
        <v>0.11892953206750576</v>
      </c>
      <c r="U14" s="12">
        <f t="shared" si="6"/>
        <v>0.10184504729888202</v>
      </c>
      <c r="V14" s="11">
        <f t="shared" si="3"/>
        <v>0.10232530939553652</v>
      </c>
      <c r="W14" s="10">
        <f t="shared" si="6"/>
        <v>8.80080776722824E-2</v>
      </c>
      <c r="X14" s="11">
        <f t="shared" si="6"/>
        <v>0.11069228859885591</v>
      </c>
      <c r="Y14" s="11">
        <f t="shared" si="6"/>
        <v>0.12231194304118449</v>
      </c>
      <c r="Z14" s="11">
        <f t="shared" si="6"/>
        <v>0.12990542066629024</v>
      </c>
      <c r="AA14" s="11">
        <f t="shared" si="6"/>
        <v>0.10149005074502537</v>
      </c>
      <c r="AB14" s="11">
        <f t="shared" si="6"/>
        <v>0.10040374367598329</v>
      </c>
      <c r="AC14" s="11">
        <f t="shared" si="6"/>
        <v>7.4401741111422698E-2</v>
      </c>
      <c r="AD14" s="11">
        <f t="shared" si="6"/>
        <v>0.11795424948369529</v>
      </c>
      <c r="AE14" s="12">
        <f t="shared" si="6"/>
        <v>9.5777578892987852E-2</v>
      </c>
      <c r="AF14" s="11">
        <f t="shared" si="4"/>
        <v>0.10162696698560553</v>
      </c>
    </row>
    <row r="15" spans="1:32" x14ac:dyDescent="0.2">
      <c r="B15" s="4" t="s">
        <v>47</v>
      </c>
      <c r="C15" s="10">
        <f t="shared" ref="C15:AE21" si="7">C42/SUM(C$30:C$48)</f>
        <v>1.9642900011317275E-2</v>
      </c>
      <c r="D15" s="11">
        <f t="shared" si="7"/>
        <v>1.4254896884977133E-2</v>
      </c>
      <c r="E15" s="11">
        <f t="shared" si="7"/>
        <v>1.5304538614528197E-2</v>
      </c>
      <c r="F15" s="11">
        <f t="shared" si="7"/>
        <v>3.1247830888152705E-2</v>
      </c>
      <c r="G15" s="11">
        <f t="shared" si="7"/>
        <v>1.3038204972710734E-2</v>
      </c>
      <c r="H15" s="11">
        <f t="shared" si="7"/>
        <v>1.2552437319111574E-2</v>
      </c>
      <c r="I15" s="11">
        <f t="shared" si="7"/>
        <v>8.1225821816847649E-2</v>
      </c>
      <c r="J15" s="11">
        <f t="shared" si="7"/>
        <v>1.7893312417579577E-2</v>
      </c>
      <c r="K15" s="12">
        <f t="shared" si="7"/>
        <v>2.618782667341089E-2</v>
      </c>
      <c r="L15" s="11">
        <f t="shared" si="2"/>
        <v>2.166589152628013E-2</v>
      </c>
      <c r="M15" s="10">
        <f t="shared" si="7"/>
        <v>1.9049949622134799E-2</v>
      </c>
      <c r="N15" s="11">
        <f t="shared" si="7"/>
        <v>1.3836885317789607E-2</v>
      </c>
      <c r="O15" s="11">
        <f t="shared" si="7"/>
        <v>1.5789437777580691E-2</v>
      </c>
      <c r="P15" s="11">
        <f t="shared" si="7"/>
        <v>2.1849067973973305E-2</v>
      </c>
      <c r="Q15" s="11">
        <f t="shared" si="7"/>
        <v>1.4875300670971009E-2</v>
      </c>
      <c r="R15" s="11">
        <f t="shared" si="7"/>
        <v>1.1202178043731035E-2</v>
      </c>
      <c r="S15" s="11">
        <f t="shared" si="7"/>
        <v>6.107603214388594E-2</v>
      </c>
      <c r="T15" s="11">
        <f t="shared" si="7"/>
        <v>1.5781230493354972E-2</v>
      </c>
      <c r="U15" s="12">
        <f t="shared" si="7"/>
        <v>1.9795168477835978E-2</v>
      </c>
      <c r="V15" s="11">
        <f t="shared" si="3"/>
        <v>2.1451354246184617E-2</v>
      </c>
      <c r="W15" s="10">
        <f t="shared" si="7"/>
        <v>2.0967737817751988E-2</v>
      </c>
      <c r="X15" s="11">
        <f t="shared" si="7"/>
        <v>1.6656372483938187E-2</v>
      </c>
      <c r="Y15" s="11">
        <f t="shared" si="7"/>
        <v>1.4043759756041337E-2</v>
      </c>
      <c r="Z15" s="11">
        <f t="shared" si="7"/>
        <v>2.1077428006775832E-2</v>
      </c>
      <c r="AA15" s="11">
        <f t="shared" si="7"/>
        <v>1.3107006553503277E-2</v>
      </c>
      <c r="AB15" s="11">
        <f t="shared" si="7"/>
        <v>1.7661124947669426E-2</v>
      </c>
      <c r="AC15" s="11">
        <f t="shared" si="7"/>
        <v>4.3761058762510519E-2</v>
      </c>
      <c r="AD15" s="11">
        <f t="shared" si="7"/>
        <v>1.6113968508701542E-2</v>
      </c>
      <c r="AE15" s="12">
        <f t="shared" si="7"/>
        <v>1.5534842432312472E-2</v>
      </c>
      <c r="AF15" s="11">
        <f t="shared" si="4"/>
        <v>2.1056011632065049E-2</v>
      </c>
    </row>
    <row r="16" spans="1:32" x14ac:dyDescent="0.2">
      <c r="B16" s="4" t="s">
        <v>48</v>
      </c>
      <c r="C16" s="10">
        <f t="shared" si="7"/>
        <v>4.1208593354359835E-2</v>
      </c>
      <c r="D16" s="11">
        <f t="shared" si="7"/>
        <v>6.2011390111312452E-2</v>
      </c>
      <c r="E16" s="11">
        <f t="shared" si="7"/>
        <v>4.9450693998674092E-2</v>
      </c>
      <c r="F16" s="11">
        <f t="shared" si="7"/>
        <v>8.0681495504022718E-2</v>
      </c>
      <c r="G16" s="11">
        <f t="shared" si="7"/>
        <v>2.4800384071154234E-2</v>
      </c>
      <c r="H16" s="11">
        <f t="shared" si="7"/>
        <v>2.0877369841631167E-2</v>
      </c>
      <c r="I16" s="11">
        <f t="shared" si="7"/>
        <v>7.562581666741762E-2</v>
      </c>
      <c r="J16" s="11">
        <f t="shared" si="7"/>
        <v>3.0442764671912842E-2</v>
      </c>
      <c r="K16" s="12">
        <f t="shared" si="7"/>
        <v>5.3717754172989379E-2</v>
      </c>
      <c r="L16" s="11">
        <f t="shared" si="2"/>
        <v>5.0608413431173276E-2</v>
      </c>
      <c r="M16" s="10">
        <f t="shared" si="7"/>
        <v>3.9144912210171211E-2</v>
      </c>
      <c r="N16" s="11">
        <f t="shared" si="7"/>
        <v>7.36483006919567E-2</v>
      </c>
      <c r="O16" s="11">
        <f t="shared" si="7"/>
        <v>4.7357397717271918E-2</v>
      </c>
      <c r="P16" s="11">
        <f t="shared" si="7"/>
        <v>7.3430132657963956E-2</v>
      </c>
      <c r="Q16" s="11">
        <f t="shared" si="7"/>
        <v>3.3411402287209353E-2</v>
      </c>
      <c r="R16" s="11">
        <f t="shared" si="7"/>
        <v>2.5651569722923342E-2</v>
      </c>
      <c r="S16" s="11">
        <f t="shared" si="7"/>
        <v>6.3062675279868349E-2</v>
      </c>
      <c r="T16" s="11">
        <f t="shared" si="7"/>
        <v>3.2600923834708494E-2</v>
      </c>
      <c r="U16" s="12">
        <f t="shared" si="7"/>
        <v>3.9777968884371823E-2</v>
      </c>
      <c r="V16" s="11">
        <f t="shared" si="3"/>
        <v>4.9667238586748229E-2</v>
      </c>
      <c r="W16" s="10">
        <f t="shared" si="7"/>
        <v>3.820299874648006E-2</v>
      </c>
      <c r="X16" s="11">
        <f t="shared" si="7"/>
        <v>9.4512142325253845E-2</v>
      </c>
      <c r="Y16" s="11">
        <f t="shared" si="7"/>
        <v>3.9720672598778886E-2</v>
      </c>
      <c r="Z16" s="11">
        <f t="shared" si="7"/>
        <v>6.9743435911914176E-2</v>
      </c>
      <c r="AA16" s="11">
        <f t="shared" si="7"/>
        <v>3.1424515712257857E-2</v>
      </c>
      <c r="AB16" s="11">
        <f t="shared" si="7"/>
        <v>3.5002944703436435E-2</v>
      </c>
      <c r="AC16" s="11">
        <f t="shared" si="7"/>
        <v>6.4368512089259255E-2</v>
      </c>
      <c r="AD16" s="11">
        <f t="shared" si="7"/>
        <v>4.0957980908783977E-2</v>
      </c>
      <c r="AE16" s="12">
        <f t="shared" si="7"/>
        <v>3.1753654508014817E-2</v>
      </c>
      <c r="AF16" s="11">
        <f t="shared" si="4"/>
        <v>4.9686140668336369E-2</v>
      </c>
    </row>
    <row r="17" spans="1:32" x14ac:dyDescent="0.2">
      <c r="B17" s="4" t="s">
        <v>49</v>
      </c>
      <c r="C17" s="10">
        <f t="shared" si="7"/>
        <v>7.3563420743076174E-2</v>
      </c>
      <c r="D17" s="11">
        <f t="shared" si="7"/>
        <v>5.1494952109759254E-2</v>
      </c>
      <c r="E17" s="11">
        <f t="shared" si="7"/>
        <v>5.120805227877806E-2</v>
      </c>
      <c r="F17" s="11">
        <f t="shared" si="7"/>
        <v>4.1407162012935796E-2</v>
      </c>
      <c r="G17" s="11">
        <f t="shared" si="7"/>
        <v>6.9991914291489793E-2</v>
      </c>
      <c r="H17" s="11">
        <f t="shared" si="7"/>
        <v>5.4209619199375628E-2</v>
      </c>
      <c r="I17" s="11">
        <f t="shared" si="7"/>
        <v>7.3063975231241599E-2</v>
      </c>
      <c r="J17" s="11">
        <f t="shared" si="7"/>
        <v>8.6122339921221161E-2</v>
      </c>
      <c r="K17" s="12">
        <f t="shared" si="7"/>
        <v>6.3800370932389147E-2</v>
      </c>
      <c r="L17" s="11">
        <f t="shared" si="2"/>
        <v>6.1625096174825734E-2</v>
      </c>
      <c r="M17" s="10">
        <f t="shared" si="7"/>
        <v>7.4424400116362255E-2</v>
      </c>
      <c r="N17" s="11">
        <f t="shared" si="7"/>
        <v>4.7782567728326598E-2</v>
      </c>
      <c r="O17" s="11">
        <f t="shared" si="7"/>
        <v>5.1465762489851886E-2</v>
      </c>
      <c r="P17" s="11">
        <f t="shared" si="7"/>
        <v>4.0505875550705638E-2</v>
      </c>
      <c r="Q17" s="11">
        <f t="shared" si="7"/>
        <v>7.4714098831075659E-2</v>
      </c>
      <c r="R17" s="11">
        <f t="shared" si="7"/>
        <v>7.5777771475567912E-2</v>
      </c>
      <c r="S17" s="11">
        <f t="shared" si="7"/>
        <v>6.4264594377137704E-2</v>
      </c>
      <c r="T17" s="11">
        <f t="shared" si="7"/>
        <v>7.9490642485047266E-2</v>
      </c>
      <c r="U17" s="12">
        <f t="shared" si="7"/>
        <v>5.7735908060354939E-2</v>
      </c>
      <c r="V17" s="11">
        <f t="shared" si="3"/>
        <v>6.153588563547701E-2</v>
      </c>
      <c r="W17" s="10">
        <f t="shared" si="7"/>
        <v>7.3553026957061202E-2</v>
      </c>
      <c r="X17" s="11">
        <f t="shared" si="7"/>
        <v>4.8055553952100302E-2</v>
      </c>
      <c r="Y17" s="11">
        <f t="shared" si="7"/>
        <v>5.242246211198124E-2</v>
      </c>
      <c r="Z17" s="11">
        <f t="shared" si="7"/>
        <v>3.715238565782044E-2</v>
      </c>
      <c r="AA17" s="11">
        <f t="shared" si="7"/>
        <v>7.8778039389019699E-2</v>
      </c>
      <c r="AB17" s="11">
        <f t="shared" si="7"/>
        <v>7.7002220945001448E-2</v>
      </c>
      <c r="AC17" s="11">
        <f t="shared" si="7"/>
        <v>7.2416437322718574E-2</v>
      </c>
      <c r="AD17" s="11">
        <f t="shared" si="7"/>
        <v>7.7325125075088902E-2</v>
      </c>
      <c r="AE17" s="12">
        <f t="shared" si="7"/>
        <v>6.13753610850378E-2</v>
      </c>
      <c r="AF17" s="11">
        <f t="shared" si="4"/>
        <v>6.4530298728472671E-2</v>
      </c>
    </row>
    <row r="18" spans="1:32" x14ac:dyDescent="0.2">
      <c r="B18" s="4" t="s">
        <v>50</v>
      </c>
      <c r="C18" s="10">
        <f t="shared" si="7"/>
        <v>3.6642816560714886E-2</v>
      </c>
      <c r="D18" s="11">
        <f t="shared" si="7"/>
        <v>2.1289584951246873E-2</v>
      </c>
      <c r="E18" s="11">
        <f t="shared" si="7"/>
        <v>1.4637636931883951E-2</v>
      </c>
      <c r="F18" s="11">
        <f t="shared" si="7"/>
        <v>1.7081558605458274E-2</v>
      </c>
      <c r="G18" s="11">
        <f t="shared" si="7"/>
        <v>1.327824944410754E-2</v>
      </c>
      <c r="H18" s="11">
        <f t="shared" si="7"/>
        <v>1.3755650222756984E-2</v>
      </c>
      <c r="I18" s="11">
        <f t="shared" si="7"/>
        <v>8.236513320931789E-2</v>
      </c>
      <c r="J18" s="11">
        <f t="shared" si="7"/>
        <v>2.2375259651270029E-2</v>
      </c>
      <c r="K18" s="12">
        <f t="shared" si="7"/>
        <v>2.1298263361996292E-2</v>
      </c>
      <c r="L18" s="11">
        <f t="shared" si="2"/>
        <v>2.7195226283575062E-2</v>
      </c>
      <c r="M18" s="10">
        <f t="shared" si="7"/>
        <v>3.3487858747207992E-2</v>
      </c>
      <c r="N18" s="11">
        <f t="shared" si="7"/>
        <v>2.0270710914115961E-2</v>
      </c>
      <c r="O18" s="11">
        <f t="shared" si="7"/>
        <v>1.5783979969845614E-2</v>
      </c>
      <c r="P18" s="11">
        <f t="shared" si="7"/>
        <v>1.7223547806542505E-2</v>
      </c>
      <c r="Q18" s="11">
        <f t="shared" si="7"/>
        <v>1.4622104063805545E-2</v>
      </c>
      <c r="R18" s="11">
        <f t="shared" si="7"/>
        <v>1.8178724369700236E-2</v>
      </c>
      <c r="S18" s="11">
        <f t="shared" si="7"/>
        <v>6.3423582116238483E-2</v>
      </c>
      <c r="T18" s="11">
        <f t="shared" si="7"/>
        <v>2.2420583128099782E-2</v>
      </c>
      <c r="U18" s="12">
        <f t="shared" si="7"/>
        <v>1.3744038777265264E-2</v>
      </c>
      <c r="V18" s="11">
        <f t="shared" si="3"/>
        <v>2.6821067683939489E-2</v>
      </c>
      <c r="W18" s="10">
        <f t="shared" si="7"/>
        <v>3.2844264827149555E-2</v>
      </c>
      <c r="X18" s="11">
        <f t="shared" si="7"/>
        <v>1.7738704780156662E-2</v>
      </c>
      <c r="Y18" s="11">
        <f t="shared" si="7"/>
        <v>1.3371951339994336E-2</v>
      </c>
      <c r="Z18" s="11">
        <f t="shared" si="7"/>
        <v>1.5227978543195934E-2</v>
      </c>
      <c r="AA18" s="11">
        <f t="shared" si="7"/>
        <v>1.2104006052003026E-2</v>
      </c>
      <c r="AB18" s="11">
        <f t="shared" si="7"/>
        <v>2.1535361276085459E-2</v>
      </c>
      <c r="AC18" s="11">
        <f t="shared" si="7"/>
        <v>5.481671923585657E-2</v>
      </c>
      <c r="AD18" s="11">
        <f t="shared" si="7"/>
        <v>1.9244682390392127E-2</v>
      </c>
      <c r="AE18" s="12">
        <f t="shared" si="7"/>
        <v>1.1329156752744974E-2</v>
      </c>
      <c r="AF18" s="11">
        <f t="shared" si="4"/>
        <v>2.5791616030648157E-2</v>
      </c>
    </row>
    <row r="19" spans="1:32" x14ac:dyDescent="0.2">
      <c r="B19" s="4" t="s">
        <v>51</v>
      </c>
      <c r="C19" s="10">
        <f t="shared" si="7"/>
        <v>5.3434678183611903E-2</v>
      </c>
      <c r="D19" s="11">
        <f t="shared" si="7"/>
        <v>5.3973595651048409E-2</v>
      </c>
      <c r="E19" s="11">
        <f t="shared" si="7"/>
        <v>3.7187332288038388E-2</v>
      </c>
      <c r="F19" s="11">
        <f t="shared" si="7"/>
        <v>3.0831361413472157E-2</v>
      </c>
      <c r="G19" s="11">
        <f t="shared" si="7"/>
        <v>3.3517788558722457E-2</v>
      </c>
      <c r="H19" s="11">
        <f t="shared" si="7"/>
        <v>7.0371695229423437E-2</v>
      </c>
      <c r="I19" s="11">
        <f t="shared" si="7"/>
        <v>5.9456606396879448E-2</v>
      </c>
      <c r="J19" s="11">
        <f t="shared" si="7"/>
        <v>5.953232604442299E-2</v>
      </c>
      <c r="K19" s="12">
        <f t="shared" si="7"/>
        <v>3.3302984319676279E-2</v>
      </c>
      <c r="L19" s="11">
        <f t="shared" si="2"/>
        <v>4.6945875104787496E-2</v>
      </c>
      <c r="M19" s="10">
        <f t="shared" si="7"/>
        <v>4.394298249447217E-2</v>
      </c>
      <c r="N19" s="11">
        <f t="shared" si="7"/>
        <v>5.0031370802890163E-2</v>
      </c>
      <c r="O19" s="11">
        <f t="shared" si="7"/>
        <v>3.7212697589695656E-2</v>
      </c>
      <c r="P19" s="11">
        <f t="shared" si="7"/>
        <v>2.6743324348314699E-2</v>
      </c>
      <c r="Q19" s="11">
        <f t="shared" si="7"/>
        <v>3.0932185508714183E-2</v>
      </c>
      <c r="R19" s="11">
        <f t="shared" si="7"/>
        <v>5.5372791469328719E-2</v>
      </c>
      <c r="S19" s="11">
        <f t="shared" si="7"/>
        <v>8.3462189214514412E-2</v>
      </c>
      <c r="T19" s="11">
        <f t="shared" si="7"/>
        <v>5.3722009737717201E-2</v>
      </c>
      <c r="U19" s="12">
        <f t="shared" si="7"/>
        <v>2.7433351575326403E-2</v>
      </c>
      <c r="V19" s="11">
        <f t="shared" si="3"/>
        <v>4.6303944716944809E-2</v>
      </c>
      <c r="W19" s="10">
        <f t="shared" si="7"/>
        <v>4.9286821190869474E-2</v>
      </c>
      <c r="X19" s="11">
        <f t="shared" si="7"/>
        <v>4.7155053481646531E-2</v>
      </c>
      <c r="Y19" s="11">
        <f t="shared" si="7"/>
        <v>3.3807770584012277E-2</v>
      </c>
      <c r="Z19" s="11">
        <f t="shared" si="7"/>
        <v>2.326545736871824E-2</v>
      </c>
      <c r="AA19" s="11">
        <f t="shared" si="7"/>
        <v>2.6673013336506669E-2</v>
      </c>
      <c r="AB19" s="11">
        <f t="shared" si="7"/>
        <v>5.1606814682362293E-2</v>
      </c>
      <c r="AC19" s="11">
        <f t="shared" si="7"/>
        <v>7.0639590431828395E-2</v>
      </c>
      <c r="AD19" s="11">
        <f t="shared" si="7"/>
        <v>4.2181327089444581E-2</v>
      </c>
      <c r="AE19" s="12">
        <f t="shared" si="7"/>
        <v>2.4317303704350483E-2</v>
      </c>
      <c r="AF19" s="11">
        <f t="shared" si="4"/>
        <v>4.5161826170269773E-2</v>
      </c>
    </row>
    <row r="20" spans="1:32" x14ac:dyDescent="0.2">
      <c r="B20" s="4" t="s">
        <v>52</v>
      </c>
      <c r="C20" s="10">
        <f t="shared" si="7"/>
        <v>3.1363708590496461E-2</v>
      </c>
      <c r="D20" s="11">
        <f t="shared" si="7"/>
        <v>3.7352230563465358E-2</v>
      </c>
      <c r="E20" s="11">
        <f t="shared" si="7"/>
        <v>2.5864472950362521E-2</v>
      </c>
      <c r="F20" s="11">
        <f t="shared" si="7"/>
        <v>2.3088815270547406E-2</v>
      </c>
      <c r="G20" s="11">
        <f t="shared" si="7"/>
        <v>2.7668283808368707E-2</v>
      </c>
      <c r="H20" s="11">
        <f t="shared" si="7"/>
        <v>5.2290982407076192E-2</v>
      </c>
      <c r="I20" s="11">
        <f t="shared" si="7"/>
        <v>3.6277734508261619E-2</v>
      </c>
      <c r="J20" s="11">
        <f t="shared" si="7"/>
        <v>4.9025607433137101E-2</v>
      </c>
      <c r="K20" s="12">
        <f t="shared" si="7"/>
        <v>2.486595852301467E-2</v>
      </c>
      <c r="L20" s="11">
        <f t="shared" si="2"/>
        <v>3.1178586603277408E-2</v>
      </c>
      <c r="M20" s="10">
        <f t="shared" si="7"/>
        <v>2.7320159760883055E-2</v>
      </c>
      <c r="N20" s="11">
        <f t="shared" si="7"/>
        <v>3.7339126250053409E-2</v>
      </c>
      <c r="O20" s="11">
        <f t="shared" si="7"/>
        <v>2.5527531228893636E-2</v>
      </c>
      <c r="P20" s="11">
        <f t="shared" si="7"/>
        <v>1.9609599583051703E-2</v>
      </c>
      <c r="Q20" s="11">
        <f t="shared" si="7"/>
        <v>2.7303034139342534E-2</v>
      </c>
      <c r="R20" s="11">
        <f t="shared" si="7"/>
        <v>2.9508522163296559E-2</v>
      </c>
      <c r="S20" s="11">
        <f t="shared" si="7"/>
        <v>4.5163020624666823E-2</v>
      </c>
      <c r="T20" s="11">
        <f t="shared" si="7"/>
        <v>5.2280646003336699E-2</v>
      </c>
      <c r="U20" s="12">
        <f t="shared" si="7"/>
        <v>2.0905324055976858E-2</v>
      </c>
      <c r="V20" s="11">
        <f t="shared" si="3"/>
        <v>3.1258582717292212E-2</v>
      </c>
      <c r="W20" s="10">
        <f t="shared" si="7"/>
        <v>3.2126873578301594E-2</v>
      </c>
      <c r="X20" s="11">
        <f t="shared" si="7"/>
        <v>3.7515080496660642E-2</v>
      </c>
      <c r="Y20" s="11">
        <f t="shared" si="7"/>
        <v>2.0570839562929349E-2</v>
      </c>
      <c r="Z20" s="11">
        <f t="shared" si="7"/>
        <v>1.8192405420666292E-2</v>
      </c>
      <c r="AA20" s="11">
        <f t="shared" si="7"/>
        <v>2.3528011764005881E-2</v>
      </c>
      <c r="AB20" s="11">
        <f t="shared" si="7"/>
        <v>3.1611213998339611E-2</v>
      </c>
      <c r="AC20" s="11">
        <f t="shared" si="7"/>
        <v>4.3919883065606846E-2</v>
      </c>
      <c r="AD20" s="11">
        <f t="shared" si="7"/>
        <v>4.3974691203746336E-2</v>
      </c>
      <c r="AE20" s="12">
        <f t="shared" si="7"/>
        <v>1.6720874899041716E-2</v>
      </c>
      <c r="AF20" s="11">
        <f t="shared" si="4"/>
        <v>3.1265692532187826E-2</v>
      </c>
    </row>
    <row r="21" spans="1:32" x14ac:dyDescent="0.2">
      <c r="B21" s="4" t="s">
        <v>53</v>
      </c>
      <c r="C21" s="10">
        <f t="shared" si="7"/>
        <v>1.7150813529057386E-2</v>
      </c>
      <c r="D21" s="11">
        <f t="shared" si="7"/>
        <v>1.302528259556476E-2</v>
      </c>
      <c r="E21" s="11">
        <f t="shared" si="7"/>
        <v>1.0565195887571162E-2</v>
      </c>
      <c r="F21" s="11">
        <f t="shared" si="7"/>
        <v>7.0484303517905035E-3</v>
      </c>
      <c r="G21" s="11">
        <f t="shared" si="7"/>
        <v>1.0663028097837073E-2</v>
      </c>
      <c r="H21" s="11">
        <f t="shared" si="7"/>
        <v>1.1414262950798348E-2</v>
      </c>
      <c r="I21" s="11">
        <f t="shared" si="7"/>
        <v>9.0308129018969209E-3</v>
      </c>
      <c r="J21" s="11">
        <f t="shared" si="7"/>
        <v>1.6824540384930316E-2</v>
      </c>
      <c r="K21" s="12">
        <f t="shared" si="7"/>
        <v>9.1654021244309564E-3</v>
      </c>
      <c r="L21" s="11">
        <f t="shared" si="2"/>
        <v>1.2954533709994144E-2</v>
      </c>
      <c r="M21" s="10">
        <f t="shared" si="7"/>
        <v>1.5531614451393163E-2</v>
      </c>
      <c r="N21" s="11">
        <f t="shared" si="7"/>
        <v>1.5728128703497563E-2</v>
      </c>
      <c r="O21" s="11">
        <f t="shared" si="7"/>
        <v>7.6409308291092177E-3</v>
      </c>
      <c r="P21" s="11">
        <f t="shared" si="7"/>
        <v>6.5799653085987439E-3</v>
      </c>
      <c r="Q21" s="11">
        <f t="shared" si="7"/>
        <v>8.8196818162636619E-3</v>
      </c>
      <c r="R21" s="11">
        <f t="shared" si="7"/>
        <v>8.5363432687671926E-3</v>
      </c>
      <c r="S21" s="11">
        <f t="shared" si="7"/>
        <v>1.9171106262230272E-2</v>
      </c>
      <c r="T21" s="11">
        <f t="shared" si="7"/>
        <v>1.9503807697109327E-2</v>
      </c>
      <c r="U21" s="12">
        <f t="shared" si="7"/>
        <v>1.2852787115940897E-2</v>
      </c>
      <c r="V21" s="11">
        <f t="shared" si="3"/>
        <v>1.3280172265252566E-2</v>
      </c>
      <c r="W21" s="10">
        <f t="shared" si="7"/>
        <v>1.5609003898421485E-2</v>
      </c>
      <c r="X21" s="11">
        <f t="shared" si="7"/>
        <v>1.2179846106778575E-2</v>
      </c>
      <c r="Y21" s="11">
        <f t="shared" si="7"/>
        <v>4.3865137753657073E-3</v>
      </c>
      <c r="Z21" s="11">
        <f t="shared" si="7"/>
        <v>5.717108977978543E-3</v>
      </c>
      <c r="AA21" s="11">
        <f t="shared" si="7"/>
        <v>7.5820037910018954E-3</v>
      </c>
      <c r="AB21" s="11">
        <f t="shared" si="7"/>
        <v>1.3900419354152031E-2</v>
      </c>
      <c r="AC21" s="11">
        <f t="shared" si="7"/>
        <v>1.7761024019694215E-2</v>
      </c>
      <c r="AD21" s="11">
        <f t="shared" si="7"/>
        <v>1.0589179305718156E-2</v>
      </c>
      <c r="AE21" s="12">
        <f t="shared" si="7"/>
        <v>4.1038178603392201E-3</v>
      </c>
      <c r="AF21" s="11">
        <f t="shared" si="4"/>
        <v>1.1380115743773464E-2</v>
      </c>
    </row>
    <row r="22" spans="1:32" x14ac:dyDescent="0.2">
      <c r="C22" s="13">
        <f>SUM(C3:C21)</f>
        <v>1</v>
      </c>
      <c r="D22" s="14">
        <f t="shared" ref="D22:L22" si="8">SUM(D3:D21)</f>
        <v>1</v>
      </c>
      <c r="E22" s="14">
        <f t="shared" si="8"/>
        <v>1</v>
      </c>
      <c r="F22" s="14">
        <f t="shared" si="8"/>
        <v>1.0000000000000002</v>
      </c>
      <c r="G22" s="14">
        <f t="shared" si="8"/>
        <v>0.99999999999999978</v>
      </c>
      <c r="H22" s="14">
        <f t="shared" si="8"/>
        <v>0.99999999999999978</v>
      </c>
      <c r="I22" s="14">
        <f t="shared" si="8"/>
        <v>1.0000000000000002</v>
      </c>
      <c r="J22" s="14">
        <f t="shared" si="8"/>
        <v>1.0000000000000002</v>
      </c>
      <c r="K22" s="15">
        <f t="shared" si="8"/>
        <v>1</v>
      </c>
      <c r="L22" s="15">
        <f t="shared" si="8"/>
        <v>1.0000000000000002</v>
      </c>
      <c r="M22" s="13">
        <f>SUM(M3:M21)</f>
        <v>1</v>
      </c>
      <c r="N22" s="14">
        <f t="shared" ref="N22:U22" si="9">SUM(N3:N21)</f>
        <v>1</v>
      </c>
      <c r="O22" s="14">
        <f t="shared" si="9"/>
        <v>1</v>
      </c>
      <c r="P22" s="14">
        <f t="shared" si="9"/>
        <v>1</v>
      </c>
      <c r="Q22" s="14">
        <f t="shared" si="9"/>
        <v>1.0000000000000002</v>
      </c>
      <c r="R22" s="14">
        <f t="shared" si="9"/>
        <v>1</v>
      </c>
      <c r="S22" s="14">
        <f t="shared" si="9"/>
        <v>0.99999999999999989</v>
      </c>
      <c r="T22" s="14">
        <f t="shared" si="9"/>
        <v>1</v>
      </c>
      <c r="U22" s="15">
        <f t="shared" si="9"/>
        <v>1.0000000000000002</v>
      </c>
      <c r="V22" s="15">
        <f>SUM(V3:V21)</f>
        <v>0.99999999999999967</v>
      </c>
      <c r="W22" s="13">
        <f>SUM(W3:W21)</f>
        <v>0.99999999999999967</v>
      </c>
      <c r="X22" s="14">
        <f t="shared" ref="X22:AE22" si="10">SUM(X3:X21)</f>
        <v>1</v>
      </c>
      <c r="Y22" s="14">
        <f t="shared" si="10"/>
        <v>1.0000000000000002</v>
      </c>
      <c r="Z22" s="14">
        <f t="shared" si="10"/>
        <v>0.99999999999999989</v>
      </c>
      <c r="AA22" s="14">
        <f t="shared" si="10"/>
        <v>0.99999999999999989</v>
      </c>
      <c r="AB22" s="14">
        <f t="shared" si="10"/>
        <v>0.99999999999999989</v>
      </c>
      <c r="AC22" s="14">
        <f t="shared" si="10"/>
        <v>1</v>
      </c>
      <c r="AD22" s="14">
        <f t="shared" si="10"/>
        <v>0.99999999999999989</v>
      </c>
      <c r="AE22" s="15">
        <f t="shared" si="10"/>
        <v>1</v>
      </c>
      <c r="AF22" s="15">
        <f>SUM(AF3:AF21)</f>
        <v>1</v>
      </c>
    </row>
    <row r="26" spans="1:32" ht="19" x14ac:dyDescent="0.25">
      <c r="A26" s="2" t="s">
        <v>21</v>
      </c>
    </row>
    <row r="28" spans="1:32" x14ac:dyDescent="0.2">
      <c r="C28" s="4" t="s">
        <v>22</v>
      </c>
      <c r="M28" s="4" t="s">
        <v>23</v>
      </c>
      <c r="W28" s="4" t="s">
        <v>24</v>
      </c>
    </row>
    <row r="29" spans="1:32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132</v>
      </c>
      <c r="M29" s="5" t="s">
        <v>25</v>
      </c>
      <c r="N29" s="5" t="s">
        <v>26</v>
      </c>
      <c r="O29" s="5" t="s">
        <v>27</v>
      </c>
      <c r="P29" s="5" t="s">
        <v>28</v>
      </c>
      <c r="Q29" s="5" t="s">
        <v>29</v>
      </c>
      <c r="R29" s="5" t="s">
        <v>30</v>
      </c>
      <c r="S29" s="5" t="s">
        <v>31</v>
      </c>
      <c r="T29" s="5" t="s">
        <v>32</v>
      </c>
      <c r="U29" s="5" t="s">
        <v>33</v>
      </c>
      <c r="V29" s="5" t="s">
        <v>132</v>
      </c>
      <c r="W29" s="5" t="s">
        <v>25</v>
      </c>
      <c r="X29" s="5" t="s">
        <v>26</v>
      </c>
      <c r="Y29" s="5" t="s">
        <v>27</v>
      </c>
      <c r="Z29" s="5" t="s">
        <v>28</v>
      </c>
      <c r="AA29" s="5" t="s">
        <v>29</v>
      </c>
      <c r="AB29" s="5" t="s">
        <v>30</v>
      </c>
      <c r="AC29" s="5" t="s">
        <v>31</v>
      </c>
      <c r="AD29" s="5" t="s">
        <v>32</v>
      </c>
      <c r="AE29" s="5" t="s">
        <v>33</v>
      </c>
      <c r="AF29" s="5" t="s">
        <v>132</v>
      </c>
    </row>
    <row r="30" spans="1:32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f>SUM(C30:K30)</f>
        <v>154355</v>
      </c>
      <c r="M30" s="6">
        <v>51545</v>
      </c>
      <c r="N30" s="6">
        <v>28181</v>
      </c>
      <c r="O30" s="6">
        <v>38264</v>
      </c>
      <c r="P30" s="6">
        <v>6811</v>
      </c>
      <c r="Q30" s="6">
        <v>4192</v>
      </c>
      <c r="R30" s="6">
        <v>3435</v>
      </c>
      <c r="S30" s="6">
        <v>13943</v>
      </c>
      <c r="T30" s="6">
        <v>7036</v>
      </c>
      <c r="U30" s="6">
        <v>3878</v>
      </c>
      <c r="V30" s="6">
        <f>SUM(M30:U30)</f>
        <v>157285</v>
      </c>
      <c r="W30" s="6">
        <v>49345</v>
      </c>
      <c r="X30" s="6">
        <v>20527</v>
      </c>
      <c r="Y30" s="6">
        <v>30211</v>
      </c>
      <c r="Z30" s="6">
        <v>5414</v>
      </c>
      <c r="AA30" s="6">
        <v>4782</v>
      </c>
      <c r="AB30" s="6">
        <v>7418</v>
      </c>
      <c r="AC30" s="6">
        <v>22849</v>
      </c>
      <c r="AD30" s="6">
        <v>9840</v>
      </c>
      <c r="AE30" s="6">
        <v>4771</v>
      </c>
      <c r="AF30" s="6">
        <f>SUM(W30:AE30)</f>
        <v>155157</v>
      </c>
    </row>
    <row r="31" spans="1:32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f t="shared" ref="L31:L49" si="11">SUM(C31:K31)</f>
        <v>317061</v>
      </c>
      <c r="M31" s="6">
        <v>88689</v>
      </c>
      <c r="N31" s="6">
        <v>50741</v>
      </c>
      <c r="O31" s="6">
        <v>104451</v>
      </c>
      <c r="P31" s="6">
        <v>7839</v>
      </c>
      <c r="Q31" s="6">
        <v>12459</v>
      </c>
      <c r="R31" s="6">
        <v>6542</v>
      </c>
      <c r="S31" s="6">
        <v>20219</v>
      </c>
      <c r="T31" s="6">
        <v>17859</v>
      </c>
      <c r="U31" s="6">
        <v>21853</v>
      </c>
      <c r="V31" s="6">
        <f t="shared" ref="V31:V48" si="12">SUM(M31:U31)</f>
        <v>330652</v>
      </c>
      <c r="W31" s="6">
        <v>95609</v>
      </c>
      <c r="X31" s="6">
        <v>38779</v>
      </c>
      <c r="Y31" s="6">
        <v>101439</v>
      </c>
      <c r="Z31" s="6">
        <v>7580</v>
      </c>
      <c r="AA31" s="6">
        <v>17461</v>
      </c>
      <c r="AB31" s="6">
        <v>14572</v>
      </c>
      <c r="AC31" s="6">
        <v>32584</v>
      </c>
      <c r="AD31" s="6">
        <v>25240</v>
      </c>
      <c r="AE31" s="6">
        <v>25393</v>
      </c>
      <c r="AF31" s="6">
        <f t="shared" ref="AF31:AF48" si="13">SUM(W31:AE31)</f>
        <v>358657</v>
      </c>
    </row>
    <row r="32" spans="1:32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f t="shared" si="11"/>
        <v>344340</v>
      </c>
      <c r="M32" s="6">
        <v>104089</v>
      </c>
      <c r="N32" s="6">
        <v>35037</v>
      </c>
      <c r="O32" s="6">
        <v>97085</v>
      </c>
      <c r="P32" s="6">
        <v>7843</v>
      </c>
      <c r="Q32" s="6">
        <v>21853</v>
      </c>
      <c r="R32" s="6">
        <v>23083</v>
      </c>
      <c r="S32" s="6">
        <v>7778</v>
      </c>
      <c r="T32" s="6">
        <v>34052</v>
      </c>
      <c r="U32" s="6">
        <v>30933</v>
      </c>
      <c r="V32" s="6">
        <f t="shared" si="12"/>
        <v>361753</v>
      </c>
      <c r="W32" s="6">
        <v>87158</v>
      </c>
      <c r="X32" s="6">
        <v>22784</v>
      </c>
      <c r="Y32" s="6">
        <v>89342</v>
      </c>
      <c r="Z32" s="6">
        <v>6922</v>
      </c>
      <c r="AA32" s="6">
        <v>32198</v>
      </c>
      <c r="AB32" s="6">
        <v>31352</v>
      </c>
      <c r="AC32" s="6">
        <v>11953</v>
      </c>
      <c r="AD32" s="6">
        <v>50382</v>
      </c>
      <c r="AE32" s="6">
        <v>38142</v>
      </c>
      <c r="AF32" s="6">
        <f t="shared" si="13"/>
        <v>370233</v>
      </c>
    </row>
    <row r="33" spans="2:32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f t="shared" si="11"/>
        <v>110159</v>
      </c>
      <c r="M33" s="6">
        <v>40561</v>
      </c>
      <c r="N33" s="6">
        <v>13376</v>
      </c>
      <c r="O33" s="6">
        <v>17454</v>
      </c>
      <c r="P33" s="6">
        <v>2051</v>
      </c>
      <c r="Q33" s="6">
        <v>2215</v>
      </c>
      <c r="R33" s="6">
        <v>1443</v>
      </c>
      <c r="S33" s="6">
        <v>25296</v>
      </c>
      <c r="T33" s="6">
        <v>6528</v>
      </c>
      <c r="U33" s="6">
        <v>2659</v>
      </c>
      <c r="V33" s="6">
        <f t="shared" si="12"/>
        <v>111583</v>
      </c>
      <c r="W33" s="6">
        <v>38136</v>
      </c>
      <c r="X33" s="6">
        <v>9696</v>
      </c>
      <c r="Y33" s="6">
        <v>12191</v>
      </c>
      <c r="Z33" s="6">
        <v>1876</v>
      </c>
      <c r="AA33" s="6">
        <v>2382</v>
      </c>
      <c r="AB33" s="6">
        <v>3876</v>
      </c>
      <c r="AC33" s="6">
        <v>32286</v>
      </c>
      <c r="AD33" s="6">
        <v>7902</v>
      </c>
      <c r="AE33" s="6">
        <v>2642</v>
      </c>
      <c r="AF33" s="6">
        <f t="shared" si="13"/>
        <v>110987</v>
      </c>
    </row>
    <row r="34" spans="2:32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f t="shared" si="11"/>
        <v>105663</v>
      </c>
      <c r="M34" s="6">
        <v>38056</v>
      </c>
      <c r="N34" s="6">
        <v>13285</v>
      </c>
      <c r="O34" s="6">
        <v>18163</v>
      </c>
      <c r="P34" s="6">
        <v>2281</v>
      </c>
      <c r="Q34" s="6">
        <v>2550</v>
      </c>
      <c r="R34" s="6">
        <v>1823</v>
      </c>
      <c r="S34" s="6">
        <v>22990</v>
      </c>
      <c r="T34" s="6">
        <v>5028</v>
      </c>
      <c r="U34" s="6">
        <v>2776</v>
      </c>
      <c r="V34" s="6">
        <f t="shared" si="12"/>
        <v>106952</v>
      </c>
      <c r="W34" s="6">
        <v>34552</v>
      </c>
      <c r="X34" s="6">
        <v>8459</v>
      </c>
      <c r="Y34" s="6">
        <v>12323</v>
      </c>
      <c r="Z34" s="6">
        <v>1537</v>
      </c>
      <c r="AA34" s="6">
        <v>2289</v>
      </c>
      <c r="AB34" s="6">
        <v>3534</v>
      </c>
      <c r="AC34" s="6">
        <v>25619</v>
      </c>
      <c r="AD34" s="6">
        <v>5508</v>
      </c>
      <c r="AE34" s="6">
        <v>2370</v>
      </c>
      <c r="AF34" s="6">
        <f t="shared" si="13"/>
        <v>96191</v>
      </c>
    </row>
    <row r="35" spans="2:32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f t="shared" si="11"/>
        <v>148171</v>
      </c>
      <c r="M35" s="6">
        <v>43143</v>
      </c>
      <c r="N35" s="6">
        <v>26419</v>
      </c>
      <c r="O35" s="6">
        <v>41011</v>
      </c>
      <c r="P35" s="6">
        <v>3995</v>
      </c>
      <c r="Q35" s="6">
        <v>4112</v>
      </c>
      <c r="R35" s="6">
        <v>2260</v>
      </c>
      <c r="S35" s="6">
        <v>16446</v>
      </c>
      <c r="T35" s="6">
        <v>7642</v>
      </c>
      <c r="U35" s="6">
        <v>5604</v>
      </c>
      <c r="V35" s="6">
        <f t="shared" si="12"/>
        <v>150632</v>
      </c>
      <c r="W35" s="6">
        <v>40575</v>
      </c>
      <c r="X35" s="6">
        <v>17509</v>
      </c>
      <c r="Y35" s="6">
        <v>31544</v>
      </c>
      <c r="Z35" s="6">
        <v>3319</v>
      </c>
      <c r="AA35" s="6">
        <v>4251</v>
      </c>
      <c r="AB35" s="6">
        <v>4941</v>
      </c>
      <c r="AC35" s="6">
        <v>23068</v>
      </c>
      <c r="AD35" s="6">
        <v>8062</v>
      </c>
      <c r="AE35" s="6">
        <v>5207</v>
      </c>
      <c r="AF35" s="6">
        <f t="shared" si="13"/>
        <v>138476</v>
      </c>
    </row>
    <row r="36" spans="2:32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f t="shared" si="11"/>
        <v>135855</v>
      </c>
      <c r="M36" s="6">
        <v>39118</v>
      </c>
      <c r="N36" s="6">
        <v>23628</v>
      </c>
      <c r="O36" s="6">
        <v>42179</v>
      </c>
      <c r="P36" s="6">
        <v>5159</v>
      </c>
      <c r="Q36" s="6">
        <v>4107</v>
      </c>
      <c r="R36" s="6">
        <v>2602</v>
      </c>
      <c r="S36" s="6">
        <v>8777</v>
      </c>
      <c r="T36" s="6">
        <v>6927</v>
      </c>
      <c r="U36" s="6">
        <v>5373</v>
      </c>
      <c r="V36" s="6">
        <f t="shared" si="12"/>
        <v>137870</v>
      </c>
      <c r="W36" s="6">
        <v>37518</v>
      </c>
      <c r="X36" s="6">
        <v>17271</v>
      </c>
      <c r="Y36" s="6">
        <v>34831</v>
      </c>
      <c r="Z36" s="6">
        <v>4861</v>
      </c>
      <c r="AA36" s="6">
        <v>5428</v>
      </c>
      <c r="AB36" s="6">
        <v>6155</v>
      </c>
      <c r="AC36" s="6">
        <v>13775</v>
      </c>
      <c r="AD36" s="6">
        <v>8670</v>
      </c>
      <c r="AE36" s="6">
        <v>5771</v>
      </c>
      <c r="AF36" s="6">
        <f t="shared" si="13"/>
        <v>134280</v>
      </c>
    </row>
    <row r="37" spans="2:32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f t="shared" si="11"/>
        <v>96382</v>
      </c>
      <c r="M37" s="6">
        <v>30931</v>
      </c>
      <c r="N37" s="6">
        <v>16013</v>
      </c>
      <c r="O37" s="6">
        <v>19445</v>
      </c>
      <c r="P37" s="6">
        <v>4825</v>
      </c>
      <c r="Q37" s="6">
        <v>2392</v>
      </c>
      <c r="R37" s="6">
        <v>2041</v>
      </c>
      <c r="S37" s="6">
        <v>12457</v>
      </c>
      <c r="T37" s="6">
        <v>4800</v>
      </c>
      <c r="U37" s="6">
        <v>2591</v>
      </c>
      <c r="V37" s="6">
        <f t="shared" si="12"/>
        <v>95495</v>
      </c>
      <c r="W37" s="6">
        <v>29883</v>
      </c>
      <c r="X37" s="6">
        <v>12297</v>
      </c>
      <c r="Y37" s="6">
        <v>15198</v>
      </c>
      <c r="Z37" s="6">
        <v>4327</v>
      </c>
      <c r="AA37" s="6">
        <v>2729</v>
      </c>
      <c r="AB37" s="6">
        <v>4506</v>
      </c>
      <c r="AC37" s="6">
        <v>15963</v>
      </c>
      <c r="AD37" s="6">
        <v>5934</v>
      </c>
      <c r="AE37" s="6">
        <v>2203</v>
      </c>
      <c r="AF37" s="6">
        <f t="shared" si="13"/>
        <v>93040</v>
      </c>
    </row>
    <row r="38" spans="2:32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f t="shared" si="11"/>
        <v>61310</v>
      </c>
      <c r="M38" s="6">
        <v>16481</v>
      </c>
      <c r="N38" s="6">
        <v>11195</v>
      </c>
      <c r="O38" s="6">
        <v>16614</v>
      </c>
      <c r="P38" s="6">
        <v>6352</v>
      </c>
      <c r="Q38" s="6">
        <v>1676</v>
      </c>
      <c r="R38" s="6">
        <v>807</v>
      </c>
      <c r="S38" s="6">
        <v>5385</v>
      </c>
      <c r="T38" s="6">
        <v>2562</v>
      </c>
      <c r="U38" s="6">
        <v>2121</v>
      </c>
      <c r="V38" s="6">
        <f t="shared" si="12"/>
        <v>63193</v>
      </c>
      <c r="W38" s="6">
        <v>16147</v>
      </c>
      <c r="X38" s="6">
        <v>8728</v>
      </c>
      <c r="Y38" s="6">
        <v>13305</v>
      </c>
      <c r="Z38" s="6">
        <v>5749</v>
      </c>
      <c r="AA38" s="6">
        <v>1976</v>
      </c>
      <c r="AB38" s="6">
        <v>2456</v>
      </c>
      <c r="AC38" s="6">
        <v>8907</v>
      </c>
      <c r="AD38" s="6">
        <v>3644</v>
      </c>
      <c r="AE38" s="6">
        <v>2136</v>
      </c>
      <c r="AF38" s="6">
        <f t="shared" si="13"/>
        <v>63048</v>
      </c>
    </row>
    <row r="39" spans="2:32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f t="shared" si="11"/>
        <v>93835</v>
      </c>
      <c r="M39" s="6">
        <v>21238</v>
      </c>
      <c r="N39" s="6">
        <v>17284</v>
      </c>
      <c r="O39" s="6">
        <v>28146</v>
      </c>
      <c r="P39" s="6">
        <v>12747</v>
      </c>
      <c r="Q39" s="6">
        <v>2911</v>
      </c>
      <c r="R39" s="6">
        <v>1376</v>
      </c>
      <c r="S39" s="6">
        <v>6542</v>
      </c>
      <c r="T39" s="6">
        <v>4333</v>
      </c>
      <c r="U39" s="6">
        <v>3654</v>
      </c>
      <c r="V39" s="6">
        <f t="shared" si="12"/>
        <v>98231</v>
      </c>
      <c r="W39" s="6">
        <v>21845</v>
      </c>
      <c r="X39" s="6">
        <v>13821</v>
      </c>
      <c r="Y39" s="6">
        <v>22359</v>
      </c>
      <c r="Z39" s="6">
        <v>14598</v>
      </c>
      <c r="AA39" s="6">
        <v>3330</v>
      </c>
      <c r="AB39" s="6">
        <v>3355</v>
      </c>
      <c r="AC39" s="6">
        <v>10859</v>
      </c>
      <c r="AD39" s="6">
        <v>5615</v>
      </c>
      <c r="AE39" s="6">
        <v>3834</v>
      </c>
      <c r="AF39" s="6">
        <f t="shared" si="13"/>
        <v>99616</v>
      </c>
    </row>
    <row r="40" spans="2:32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f t="shared" si="11"/>
        <v>235282</v>
      </c>
      <c r="M40" s="6">
        <v>56340</v>
      </c>
      <c r="N40" s="6">
        <v>49451</v>
      </c>
      <c r="O40" s="6">
        <v>72201</v>
      </c>
      <c r="P40" s="6">
        <v>21092</v>
      </c>
      <c r="Q40" s="6">
        <v>6444</v>
      </c>
      <c r="R40" s="6">
        <v>2895</v>
      </c>
      <c r="S40" s="6">
        <v>18897</v>
      </c>
      <c r="T40" s="6">
        <v>9895</v>
      </c>
      <c r="U40" s="6">
        <v>8851</v>
      </c>
      <c r="V40" s="6">
        <f t="shared" si="12"/>
        <v>246066</v>
      </c>
      <c r="W40" s="6">
        <v>57969</v>
      </c>
      <c r="X40" s="6">
        <v>43382</v>
      </c>
      <c r="Y40" s="6">
        <v>61992</v>
      </c>
      <c r="Z40" s="6">
        <v>20859</v>
      </c>
      <c r="AA40" s="6">
        <v>6152</v>
      </c>
      <c r="AB40" s="6">
        <v>9620</v>
      </c>
      <c r="AC40" s="6">
        <v>26955</v>
      </c>
      <c r="AD40" s="6">
        <v>13261</v>
      </c>
      <c r="AE40" s="6">
        <v>9106</v>
      </c>
      <c r="AF40" s="6">
        <f t="shared" si="13"/>
        <v>249296</v>
      </c>
    </row>
    <row r="41" spans="2:32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f t="shared" si="11"/>
        <v>281474</v>
      </c>
      <c r="M41" s="6">
        <v>68195</v>
      </c>
      <c r="N41" s="6">
        <v>45060</v>
      </c>
      <c r="O41" s="6">
        <v>90733</v>
      </c>
      <c r="P41" s="6">
        <v>16513</v>
      </c>
      <c r="Q41" s="6">
        <v>10476</v>
      </c>
      <c r="R41" s="6">
        <v>6402</v>
      </c>
      <c r="S41" s="6">
        <v>22594</v>
      </c>
      <c r="T41" s="6">
        <v>20958</v>
      </c>
      <c r="U41" s="6">
        <v>13027</v>
      </c>
      <c r="V41" s="6">
        <f t="shared" si="12"/>
        <v>293958</v>
      </c>
      <c r="W41" s="6">
        <v>68945</v>
      </c>
      <c r="X41" s="6">
        <v>38352</v>
      </c>
      <c r="Y41" s="6">
        <v>74282</v>
      </c>
      <c r="Z41" s="6">
        <v>14724</v>
      </c>
      <c r="AA41" s="6">
        <v>11940</v>
      </c>
      <c r="AB41" s="6">
        <v>14150</v>
      </c>
      <c r="AC41" s="6">
        <v>29981</v>
      </c>
      <c r="AD41" s="6">
        <v>26901</v>
      </c>
      <c r="AE41" s="6">
        <v>13163</v>
      </c>
      <c r="AF41" s="6">
        <f t="shared" si="13"/>
        <v>292438</v>
      </c>
    </row>
    <row r="42" spans="2:32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f t="shared" si="11"/>
        <v>60374</v>
      </c>
      <c r="M42" s="6">
        <v>15258</v>
      </c>
      <c r="N42" s="6">
        <v>6153</v>
      </c>
      <c r="O42" s="6">
        <v>11572</v>
      </c>
      <c r="P42" s="6">
        <v>2683</v>
      </c>
      <c r="Q42" s="6">
        <v>1410</v>
      </c>
      <c r="R42" s="6">
        <v>790</v>
      </c>
      <c r="S42" s="6">
        <v>18446</v>
      </c>
      <c r="T42" s="6">
        <v>2781</v>
      </c>
      <c r="U42" s="6">
        <v>2532</v>
      </c>
      <c r="V42" s="6">
        <f t="shared" si="12"/>
        <v>61625</v>
      </c>
      <c r="W42" s="6">
        <v>16426</v>
      </c>
      <c r="X42" s="6">
        <v>5771</v>
      </c>
      <c r="Y42" s="6">
        <v>8529</v>
      </c>
      <c r="Z42" s="6">
        <v>2389</v>
      </c>
      <c r="AA42" s="6">
        <v>1542</v>
      </c>
      <c r="AB42" s="6">
        <v>2489</v>
      </c>
      <c r="AC42" s="6">
        <v>17634</v>
      </c>
      <c r="AD42" s="6">
        <v>3675</v>
      </c>
      <c r="AE42" s="6">
        <v>2135</v>
      </c>
      <c r="AF42" s="6">
        <f t="shared" si="13"/>
        <v>60590</v>
      </c>
    </row>
    <row r="43" spans="2:32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f t="shared" si="11"/>
        <v>141025</v>
      </c>
      <c r="M43" s="6">
        <v>31353</v>
      </c>
      <c r="N43" s="6">
        <v>32750</v>
      </c>
      <c r="O43" s="6">
        <v>34708</v>
      </c>
      <c r="P43" s="6">
        <v>9017</v>
      </c>
      <c r="Q43" s="6">
        <v>3167</v>
      </c>
      <c r="R43" s="6">
        <v>1809</v>
      </c>
      <c r="S43" s="6">
        <v>19046</v>
      </c>
      <c r="T43" s="6">
        <v>5745</v>
      </c>
      <c r="U43" s="6">
        <v>5088</v>
      </c>
      <c r="V43" s="6">
        <f t="shared" si="12"/>
        <v>142683</v>
      </c>
      <c r="W43" s="6">
        <v>29928</v>
      </c>
      <c r="X43" s="6">
        <v>32746</v>
      </c>
      <c r="Y43" s="6">
        <v>24123</v>
      </c>
      <c r="Z43" s="6">
        <v>7905</v>
      </c>
      <c r="AA43" s="6">
        <v>3697</v>
      </c>
      <c r="AB43" s="6">
        <v>4933</v>
      </c>
      <c r="AC43" s="6">
        <v>25938</v>
      </c>
      <c r="AD43" s="6">
        <v>9341</v>
      </c>
      <c r="AE43" s="6">
        <v>4364</v>
      </c>
      <c r="AF43" s="6">
        <f t="shared" si="13"/>
        <v>142975</v>
      </c>
    </row>
    <row r="44" spans="2:32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f t="shared" si="11"/>
        <v>171724</v>
      </c>
      <c r="M44" s="6">
        <v>59610</v>
      </c>
      <c r="N44" s="6">
        <v>21248</v>
      </c>
      <c r="O44" s="6">
        <v>37719</v>
      </c>
      <c r="P44" s="6">
        <v>4974</v>
      </c>
      <c r="Q44" s="6">
        <v>7082</v>
      </c>
      <c r="R44" s="6">
        <v>5344</v>
      </c>
      <c r="S44" s="6">
        <v>19409</v>
      </c>
      <c r="T44" s="6">
        <v>14008</v>
      </c>
      <c r="U44" s="6">
        <v>7385</v>
      </c>
      <c r="V44" s="6">
        <f t="shared" si="12"/>
        <v>176779</v>
      </c>
      <c r="W44" s="6">
        <v>57621</v>
      </c>
      <c r="X44" s="6">
        <v>16650</v>
      </c>
      <c r="Y44" s="6">
        <v>31837</v>
      </c>
      <c r="Z44" s="6">
        <v>4211</v>
      </c>
      <c r="AA44" s="6">
        <v>9268</v>
      </c>
      <c r="AB44" s="6">
        <v>10852</v>
      </c>
      <c r="AC44" s="6">
        <v>29181</v>
      </c>
      <c r="AD44" s="6">
        <v>17635</v>
      </c>
      <c r="AE44" s="6">
        <v>8435</v>
      </c>
      <c r="AF44" s="6">
        <f t="shared" si="13"/>
        <v>185690</v>
      </c>
    </row>
    <row r="45" spans="2:32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f t="shared" si="11"/>
        <v>75782</v>
      </c>
      <c r="M45" s="6">
        <v>26822</v>
      </c>
      <c r="N45" s="6">
        <v>9014</v>
      </c>
      <c r="O45" s="6">
        <v>11568</v>
      </c>
      <c r="P45" s="6">
        <v>2115</v>
      </c>
      <c r="Q45" s="6">
        <v>1386</v>
      </c>
      <c r="R45" s="6">
        <v>1282</v>
      </c>
      <c r="S45" s="6">
        <v>19155</v>
      </c>
      <c r="T45" s="6">
        <v>3951</v>
      </c>
      <c r="U45" s="6">
        <v>1758</v>
      </c>
      <c r="V45" s="6">
        <f t="shared" si="12"/>
        <v>77051</v>
      </c>
      <c r="W45" s="6">
        <v>25730</v>
      </c>
      <c r="X45" s="6">
        <v>6146</v>
      </c>
      <c r="Y45" s="6">
        <v>8121</v>
      </c>
      <c r="Z45" s="6">
        <v>1726</v>
      </c>
      <c r="AA45" s="6">
        <v>1424</v>
      </c>
      <c r="AB45" s="6">
        <v>3035</v>
      </c>
      <c r="AC45" s="6">
        <v>22089</v>
      </c>
      <c r="AD45" s="6">
        <v>4389</v>
      </c>
      <c r="AE45" s="6">
        <v>1557</v>
      </c>
      <c r="AF45" s="6">
        <f t="shared" si="13"/>
        <v>74217</v>
      </c>
    </row>
    <row r="46" spans="2:32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f t="shared" si="11"/>
        <v>130819</v>
      </c>
      <c r="M46" s="6">
        <v>35196</v>
      </c>
      <c r="N46" s="6">
        <v>22248</v>
      </c>
      <c r="O46" s="6">
        <v>27273</v>
      </c>
      <c r="P46" s="6">
        <v>3284</v>
      </c>
      <c r="Q46" s="6">
        <v>2932</v>
      </c>
      <c r="R46" s="6">
        <v>3905</v>
      </c>
      <c r="S46" s="6">
        <v>25207</v>
      </c>
      <c r="T46" s="6">
        <v>9467</v>
      </c>
      <c r="U46" s="6">
        <v>3509</v>
      </c>
      <c r="V46" s="6">
        <f t="shared" si="12"/>
        <v>133021</v>
      </c>
      <c r="W46" s="6">
        <v>38611</v>
      </c>
      <c r="X46" s="6">
        <v>16338</v>
      </c>
      <c r="Y46" s="6">
        <v>20532</v>
      </c>
      <c r="Z46" s="6">
        <v>2637</v>
      </c>
      <c r="AA46" s="6">
        <v>3138</v>
      </c>
      <c r="AB46" s="6">
        <v>7273</v>
      </c>
      <c r="AC46" s="6">
        <v>28465</v>
      </c>
      <c r="AD46" s="6">
        <v>9620</v>
      </c>
      <c r="AE46" s="6">
        <v>3342</v>
      </c>
      <c r="AF46" s="6">
        <f t="shared" si="13"/>
        <v>129956</v>
      </c>
    </row>
    <row r="47" spans="2:32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f t="shared" si="11"/>
        <v>86882</v>
      </c>
      <c r="M47" s="6">
        <v>21882</v>
      </c>
      <c r="N47" s="6">
        <v>16604</v>
      </c>
      <c r="O47" s="6">
        <v>18709</v>
      </c>
      <c r="P47" s="6">
        <v>2408</v>
      </c>
      <c r="Q47" s="6">
        <v>2588</v>
      </c>
      <c r="R47" s="6">
        <v>2081</v>
      </c>
      <c r="S47" s="6">
        <v>13640</v>
      </c>
      <c r="T47" s="6">
        <v>9213</v>
      </c>
      <c r="U47" s="6">
        <v>2674</v>
      </c>
      <c r="V47" s="6">
        <f t="shared" si="12"/>
        <v>89799</v>
      </c>
      <c r="W47" s="6">
        <v>25168</v>
      </c>
      <c r="X47" s="6">
        <v>12998</v>
      </c>
      <c r="Y47" s="6">
        <v>12493</v>
      </c>
      <c r="Z47" s="6">
        <v>2062</v>
      </c>
      <c r="AA47" s="6">
        <v>2768</v>
      </c>
      <c r="AB47" s="6">
        <v>4455</v>
      </c>
      <c r="AC47" s="6">
        <v>17698</v>
      </c>
      <c r="AD47" s="6">
        <v>10029</v>
      </c>
      <c r="AE47" s="6">
        <v>2298</v>
      </c>
      <c r="AF47" s="6">
        <f t="shared" si="13"/>
        <v>89969</v>
      </c>
    </row>
    <row r="48" spans="2:32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f t="shared" si="11"/>
        <v>36099</v>
      </c>
      <c r="M48" s="6">
        <v>12440</v>
      </c>
      <c r="N48" s="6">
        <v>6994</v>
      </c>
      <c r="O48" s="6">
        <v>5600</v>
      </c>
      <c r="P48" s="6">
        <v>808</v>
      </c>
      <c r="Q48" s="6">
        <v>836</v>
      </c>
      <c r="R48" s="6">
        <v>602</v>
      </c>
      <c r="S48" s="6">
        <v>5790</v>
      </c>
      <c r="T48" s="6">
        <v>3437</v>
      </c>
      <c r="U48" s="6">
        <v>1644</v>
      </c>
      <c r="V48" s="6">
        <f t="shared" si="12"/>
        <v>38151</v>
      </c>
      <c r="W48" s="6">
        <v>12228</v>
      </c>
      <c r="X48" s="6">
        <v>4220</v>
      </c>
      <c r="Y48" s="6">
        <v>2664</v>
      </c>
      <c r="Z48" s="6">
        <v>648</v>
      </c>
      <c r="AA48" s="6">
        <v>892</v>
      </c>
      <c r="AB48" s="6">
        <v>1959</v>
      </c>
      <c r="AC48" s="6">
        <v>7157</v>
      </c>
      <c r="AD48" s="6">
        <v>2415</v>
      </c>
      <c r="AE48" s="6">
        <v>564</v>
      </c>
      <c r="AF48" s="6">
        <f t="shared" si="13"/>
        <v>32747</v>
      </c>
    </row>
    <row r="49" spans="2:31" x14ac:dyDescent="0.2">
      <c r="C49" s="6">
        <f>SUM(C30:C48)</f>
        <v>874769</v>
      </c>
      <c r="D49" s="6">
        <f t="shared" ref="D49:K49" si="14">SUM(D30:D48)</f>
        <v>463560</v>
      </c>
      <c r="E49" s="6">
        <f t="shared" si="14"/>
        <v>760232</v>
      </c>
      <c r="F49" s="6">
        <f t="shared" si="14"/>
        <v>158475</v>
      </c>
      <c r="G49" s="6">
        <f t="shared" si="14"/>
        <v>79152</v>
      </c>
      <c r="H49" s="6">
        <f t="shared" si="14"/>
        <v>30751</v>
      </c>
      <c r="I49" s="6">
        <f t="shared" si="14"/>
        <v>155357</v>
      </c>
      <c r="J49" s="6">
        <f t="shared" si="14"/>
        <v>116021</v>
      </c>
      <c r="K49" s="6">
        <f t="shared" si="14"/>
        <v>148275</v>
      </c>
      <c r="L49" s="6">
        <f t="shared" si="11"/>
        <v>2786592</v>
      </c>
      <c r="M49" s="6">
        <f>SUM(M30:M48)</f>
        <v>800947</v>
      </c>
      <c r="N49" s="6">
        <f t="shared" ref="N49:U49" si="15">SUM(N30:N48)</f>
        <v>444681</v>
      </c>
      <c r="O49" s="6">
        <f t="shared" si="15"/>
        <v>732895</v>
      </c>
      <c r="P49" s="6">
        <f t="shared" si="15"/>
        <v>122797</v>
      </c>
      <c r="Q49" s="6">
        <f t="shared" si="15"/>
        <v>94788</v>
      </c>
      <c r="R49" s="6">
        <f t="shared" si="15"/>
        <v>70522</v>
      </c>
      <c r="S49" s="6">
        <f t="shared" si="15"/>
        <v>302017</v>
      </c>
      <c r="T49" s="6">
        <f t="shared" si="15"/>
        <v>176222</v>
      </c>
      <c r="U49" s="6">
        <f t="shared" si="15"/>
        <v>127910</v>
      </c>
      <c r="W49" s="6">
        <f>SUM(W30:W48)</f>
        <v>783394</v>
      </c>
      <c r="X49" s="6">
        <f t="shared" ref="X49:AE49" si="16">SUM(X30:X48)</f>
        <v>346474</v>
      </c>
      <c r="Y49" s="6">
        <f t="shared" si="16"/>
        <v>607316</v>
      </c>
      <c r="Z49" s="6">
        <f t="shared" si="16"/>
        <v>113344</v>
      </c>
      <c r="AA49" s="6">
        <f t="shared" si="16"/>
        <v>117647</v>
      </c>
      <c r="AB49" s="6">
        <f t="shared" si="16"/>
        <v>140931</v>
      </c>
      <c r="AC49" s="6">
        <f t="shared" si="16"/>
        <v>402961</v>
      </c>
      <c r="AD49" s="6">
        <f t="shared" si="16"/>
        <v>228063</v>
      </c>
      <c r="AE49" s="6">
        <f t="shared" si="16"/>
        <v>137433</v>
      </c>
    </row>
    <row r="50" spans="2:31" x14ac:dyDescent="0.2">
      <c r="B50" s="3" t="s">
        <v>132</v>
      </c>
      <c r="C50" s="6">
        <f>SUM(C49:K49)</f>
        <v>2786592</v>
      </c>
      <c r="L50" s="3" t="s">
        <v>132</v>
      </c>
      <c r="M50" s="6">
        <f>SUM(M49:U49)</f>
        <v>2872779</v>
      </c>
      <c r="V50" s="3" t="s">
        <v>132</v>
      </c>
      <c r="W50" s="6">
        <f>SUM(W49:AE49)</f>
        <v>2877563</v>
      </c>
    </row>
  </sheetData>
  <mergeCells count="3">
    <mergeCell ref="C1:K1"/>
    <mergeCell ref="M1:U1"/>
    <mergeCell ref="W1:AE1"/>
  </mergeCells>
  <pageMargins left="0.75" right="0.75" top="0.75" bottom="0.5" header="0.5" footer="0.7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zoomScale="156" zoomScaleNormal="156" workbookViewId="0">
      <selection activeCell="C3" sqref="C3"/>
    </sheetView>
  </sheetViews>
  <sheetFormatPr baseColWidth="10" defaultColWidth="11.5" defaultRowHeight="15" x14ac:dyDescent="0.2"/>
  <cols>
    <col min="1" max="1" width="11.5" style="35"/>
    <col min="2" max="2" width="19" style="35" bestFit="1" customWidth="1"/>
    <col min="3" max="3" width="10.1640625" style="35" bestFit="1" customWidth="1"/>
    <col min="4" max="4" width="11.5" style="35"/>
    <col min="5" max="5" width="19.1640625" style="35" bestFit="1" customWidth="1"/>
    <col min="6" max="15" width="3" style="35" customWidth="1"/>
    <col min="16" max="16384" width="11.5" style="35"/>
  </cols>
  <sheetData>
    <row r="2" spans="2:15" x14ac:dyDescent="0.2">
      <c r="F2" s="95" t="s">
        <v>75</v>
      </c>
      <c r="G2" s="95"/>
      <c r="H2" s="95"/>
      <c r="I2" s="95"/>
      <c r="J2" s="95"/>
      <c r="K2" s="95"/>
      <c r="L2" s="95"/>
      <c r="M2" s="95"/>
      <c r="N2" s="95"/>
      <c r="O2" s="95"/>
    </row>
    <row r="3" spans="2:15" x14ac:dyDescent="0.2">
      <c r="B3" s="1" t="s">
        <v>55</v>
      </c>
      <c r="C3" s="67">
        <v>2021</v>
      </c>
      <c r="E3" s="75" t="s">
        <v>54</v>
      </c>
      <c r="F3" s="75">
        <v>1</v>
      </c>
      <c r="G3" s="75">
        <v>2</v>
      </c>
      <c r="H3" s="75">
        <v>3</v>
      </c>
      <c r="I3" s="75">
        <v>4</v>
      </c>
      <c r="J3" s="75">
        <v>5</v>
      </c>
      <c r="K3" s="75">
        <v>6</v>
      </c>
      <c r="L3" s="75">
        <v>7</v>
      </c>
      <c r="M3" s="75">
        <v>8</v>
      </c>
      <c r="N3" s="75">
        <v>9</v>
      </c>
      <c r="O3" s="75">
        <v>10</v>
      </c>
    </row>
    <row r="4" spans="2:15" x14ac:dyDescent="0.2">
      <c r="B4" s="1" t="s">
        <v>58</v>
      </c>
      <c r="C4" s="73">
        <v>0.04</v>
      </c>
      <c r="E4" s="35" t="s">
        <v>25</v>
      </c>
      <c r="F4" s="76">
        <v>1</v>
      </c>
      <c r="G4" s="76">
        <v>1</v>
      </c>
      <c r="H4" s="76">
        <v>1</v>
      </c>
      <c r="I4" s="76">
        <v>1</v>
      </c>
      <c r="J4" s="76">
        <v>1</v>
      </c>
      <c r="K4" s="76"/>
      <c r="L4" s="76"/>
      <c r="M4" s="76"/>
      <c r="N4" s="76"/>
      <c r="O4" s="76">
        <v>1</v>
      </c>
    </row>
    <row r="5" spans="2:15" x14ac:dyDescent="0.2">
      <c r="B5" s="1" t="s">
        <v>59</v>
      </c>
      <c r="C5" s="67">
        <v>1.4</v>
      </c>
      <c r="E5" s="35" t="s">
        <v>26</v>
      </c>
      <c r="F5" s="76"/>
      <c r="G5" s="76"/>
      <c r="H5" s="76"/>
      <c r="I5" s="76"/>
      <c r="J5" s="76"/>
      <c r="K5" s="76">
        <v>1</v>
      </c>
      <c r="L5" s="76">
        <v>1</v>
      </c>
      <c r="M5" s="76">
        <v>1</v>
      </c>
      <c r="N5" s="76"/>
      <c r="O5" s="76"/>
    </row>
    <row r="6" spans="2:15" x14ac:dyDescent="0.2">
      <c r="B6" s="21"/>
      <c r="C6" s="68"/>
      <c r="E6" s="35" t="s">
        <v>27</v>
      </c>
      <c r="F6" s="76"/>
      <c r="G6" s="76"/>
      <c r="H6" s="76"/>
      <c r="I6" s="76"/>
      <c r="J6" s="76"/>
      <c r="K6" s="76">
        <v>1</v>
      </c>
      <c r="L6" s="76">
        <v>1</v>
      </c>
      <c r="M6" s="76">
        <v>1</v>
      </c>
      <c r="N6" s="76"/>
      <c r="O6" s="76"/>
    </row>
    <row r="7" spans="2:15" x14ac:dyDescent="0.2">
      <c r="B7" s="1" t="s">
        <v>83</v>
      </c>
      <c r="C7" s="69">
        <f ca="1">TODAY()</f>
        <v>45854</v>
      </c>
      <c r="E7" s="35" t="s">
        <v>28</v>
      </c>
      <c r="F7" s="76"/>
      <c r="G7" s="76"/>
      <c r="H7" s="76"/>
      <c r="I7" s="76"/>
      <c r="J7" s="76"/>
      <c r="K7" s="76"/>
      <c r="L7" s="76"/>
      <c r="M7" s="76">
        <v>1</v>
      </c>
      <c r="N7" s="76"/>
      <c r="O7" s="76"/>
    </row>
    <row r="8" spans="2:15" x14ac:dyDescent="0.2">
      <c r="B8" s="1" t="s">
        <v>88</v>
      </c>
      <c r="C8" s="67">
        <v>15</v>
      </c>
      <c r="E8" s="35" t="s">
        <v>29</v>
      </c>
      <c r="F8" s="76"/>
      <c r="G8" s="76"/>
      <c r="H8" s="76"/>
      <c r="I8" s="76"/>
      <c r="J8" s="76">
        <v>1</v>
      </c>
      <c r="K8" s="76"/>
      <c r="L8" s="76"/>
      <c r="M8" s="76"/>
      <c r="N8" s="76"/>
      <c r="O8" s="76"/>
    </row>
    <row r="9" spans="2:15" x14ac:dyDescent="0.2">
      <c r="B9" s="1" t="s">
        <v>89</v>
      </c>
      <c r="C9" s="70">
        <v>30</v>
      </c>
      <c r="E9" s="35" t="s">
        <v>30</v>
      </c>
      <c r="F9" s="76"/>
      <c r="G9" s="76">
        <v>1</v>
      </c>
      <c r="H9" s="76">
        <v>1</v>
      </c>
      <c r="I9" s="76">
        <v>1</v>
      </c>
      <c r="J9" s="76">
        <v>1</v>
      </c>
      <c r="K9" s="76"/>
      <c r="L9" s="76"/>
      <c r="M9" s="76"/>
      <c r="N9" s="76"/>
      <c r="O9" s="76"/>
    </row>
    <row r="10" spans="2:15" x14ac:dyDescent="0.2">
      <c r="C10" s="42"/>
      <c r="E10" s="35" t="s">
        <v>31</v>
      </c>
      <c r="F10" s="76"/>
      <c r="G10" s="76"/>
      <c r="H10" s="76">
        <v>1</v>
      </c>
      <c r="I10" s="76">
        <v>1</v>
      </c>
      <c r="J10" s="76">
        <v>1</v>
      </c>
      <c r="K10" s="76"/>
      <c r="L10" s="76"/>
      <c r="M10" s="76"/>
      <c r="N10" s="76"/>
      <c r="O10" s="76"/>
    </row>
    <row r="11" spans="2:15" x14ac:dyDescent="0.2">
      <c r="B11" s="1" t="s">
        <v>97</v>
      </c>
      <c r="C11" s="71">
        <v>0.65</v>
      </c>
      <c r="E11" s="35" t="s">
        <v>32</v>
      </c>
      <c r="F11" s="76"/>
      <c r="G11" s="76"/>
      <c r="H11" s="76"/>
      <c r="I11" s="76">
        <v>1</v>
      </c>
      <c r="J11" s="76">
        <v>1</v>
      </c>
      <c r="K11" s="76"/>
      <c r="L11" s="76"/>
      <c r="M11" s="76"/>
      <c r="N11" s="76"/>
      <c r="O11" s="76"/>
    </row>
    <row r="12" spans="2:15" ht="16" thickBot="1" x14ac:dyDescent="0.25">
      <c r="C12" s="42"/>
      <c r="E12" s="35" t="s">
        <v>33</v>
      </c>
      <c r="F12" s="77"/>
      <c r="G12" s="77"/>
      <c r="H12" s="77"/>
      <c r="I12" s="77"/>
      <c r="J12" s="77"/>
      <c r="K12" s="77"/>
      <c r="L12" s="77">
        <v>1</v>
      </c>
      <c r="M12" s="77">
        <v>1</v>
      </c>
      <c r="N12" s="77"/>
      <c r="O12" s="77"/>
    </row>
    <row r="13" spans="2:15" ht="16" thickBot="1" x14ac:dyDescent="0.25">
      <c r="B13" s="1" t="s">
        <v>98</v>
      </c>
      <c r="C13" s="67">
        <v>60</v>
      </c>
      <c r="E13" s="78" t="s">
        <v>117</v>
      </c>
      <c r="F13" s="79">
        <v>85</v>
      </c>
      <c r="G13" s="79">
        <v>85</v>
      </c>
      <c r="H13" s="79">
        <v>85</v>
      </c>
      <c r="I13" s="79">
        <v>85</v>
      </c>
      <c r="J13" s="79">
        <v>85</v>
      </c>
      <c r="K13" s="79">
        <v>85</v>
      </c>
      <c r="L13" s="79">
        <v>85</v>
      </c>
      <c r="M13" s="79">
        <v>85</v>
      </c>
      <c r="N13" s="79">
        <v>85</v>
      </c>
      <c r="O13" s="80">
        <v>85</v>
      </c>
    </row>
    <row r="14" spans="2:15" x14ac:dyDescent="0.2">
      <c r="B14" s="1" t="s">
        <v>99</v>
      </c>
      <c r="C14" s="70">
        <v>0</v>
      </c>
    </row>
    <row r="15" spans="2:15" x14ac:dyDescent="0.2">
      <c r="B15" s="1" t="s">
        <v>101</v>
      </c>
      <c r="C15" s="70">
        <v>60</v>
      </c>
    </row>
    <row r="16" spans="2:15" x14ac:dyDescent="0.2">
      <c r="C16" s="42"/>
    </row>
    <row r="17" spans="2:9" x14ac:dyDescent="0.2">
      <c r="C17" s="42"/>
      <c r="I17" s="35" t="s">
        <v>118</v>
      </c>
    </row>
    <row r="18" spans="2:9" x14ac:dyDescent="0.2">
      <c r="B18" s="1" t="s">
        <v>100</v>
      </c>
      <c r="C18" s="67">
        <v>1</v>
      </c>
    </row>
    <row r="19" spans="2:9" x14ac:dyDescent="0.2">
      <c r="C19" s="42"/>
    </row>
    <row r="20" spans="2:9" x14ac:dyDescent="0.2">
      <c r="B20" s="1" t="s">
        <v>108</v>
      </c>
      <c r="C20" s="67" t="s">
        <v>111</v>
      </c>
    </row>
    <row r="21" spans="2:9" x14ac:dyDescent="0.2">
      <c r="B21" s="1" t="s">
        <v>109</v>
      </c>
      <c r="C21" s="67" t="s">
        <v>111</v>
      </c>
    </row>
    <row r="22" spans="2:9" x14ac:dyDescent="0.2">
      <c r="B22" s="1" t="s">
        <v>110</v>
      </c>
      <c r="C22" s="71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J2" zoomScale="119" zoomScaleNormal="110" workbookViewId="0">
      <selection activeCell="Z25" sqref="Z25"/>
    </sheetView>
  </sheetViews>
  <sheetFormatPr baseColWidth="10" defaultColWidth="11.5" defaultRowHeight="15" x14ac:dyDescent="0.2"/>
  <cols>
    <col min="1" max="1" width="31" style="21" bestFit="1" customWidth="1"/>
    <col min="2" max="10" width="5.5" style="23" customWidth="1"/>
    <col min="11" max="11" width="6.5" style="21" customWidth="1"/>
    <col min="12" max="12" width="24" style="21" bestFit="1" customWidth="1"/>
    <col min="13" max="21" width="4.33203125" style="21" bestFit="1" customWidth="1"/>
    <col min="22" max="22" width="4.33203125" style="21" customWidth="1"/>
    <col min="23" max="23" width="24" style="21" bestFit="1" customWidth="1"/>
    <col min="24" max="37" width="4.33203125" style="21" customWidth="1"/>
    <col min="38" max="38" width="19" style="21" bestFit="1" customWidth="1"/>
    <col min="39" max="39" width="11.5" style="21"/>
    <col min="40" max="40" width="19" style="21" bestFit="1" customWidth="1"/>
    <col min="41" max="41" width="13.5" style="21" bestFit="1" customWidth="1"/>
    <col min="42" max="53" width="11.5" style="21"/>
    <col min="54" max="54" width="24" style="21" bestFit="1" customWidth="1"/>
    <col min="55" max="63" width="4.33203125" style="21" bestFit="1" customWidth="1"/>
    <col min="64" max="64" width="11.5" style="21"/>
    <col min="65" max="65" width="24.83203125" style="21" bestFit="1" customWidth="1"/>
    <col min="66" max="74" width="4.33203125" style="21" bestFit="1" customWidth="1"/>
    <col min="75" max="78" width="11.5" style="21"/>
    <col min="79" max="79" width="24" style="21" bestFit="1" customWidth="1"/>
    <col min="80" max="88" width="3.6640625" style="21" bestFit="1" customWidth="1"/>
    <col min="89" max="90" width="11.5" style="21"/>
    <col min="91" max="99" width="4.33203125" style="21" bestFit="1" customWidth="1"/>
    <col min="100" max="16384" width="11.5" style="21"/>
  </cols>
  <sheetData>
    <row r="2" spans="1:99" ht="21" x14ac:dyDescent="0.25">
      <c r="B2" s="96" t="s">
        <v>68</v>
      </c>
      <c r="C2" s="96"/>
      <c r="D2" s="96"/>
      <c r="E2" s="96"/>
      <c r="F2" s="96"/>
      <c r="G2" s="96"/>
      <c r="H2" s="96"/>
      <c r="I2" s="96"/>
      <c r="J2" s="96"/>
      <c r="M2" s="96" t="s">
        <v>77</v>
      </c>
      <c r="N2" s="96"/>
      <c r="O2" s="96"/>
      <c r="P2" s="96"/>
      <c r="Q2" s="96"/>
      <c r="R2" s="96"/>
      <c r="S2" s="96"/>
      <c r="T2" s="96"/>
      <c r="U2" s="96"/>
      <c r="X2" s="96" t="s">
        <v>69</v>
      </c>
      <c r="Y2" s="96"/>
      <c r="Z2" s="96"/>
      <c r="AA2" s="96"/>
      <c r="AB2" s="96"/>
      <c r="AC2" s="96"/>
      <c r="AD2" s="96"/>
      <c r="AE2" s="96"/>
      <c r="AF2" s="96"/>
    </row>
    <row r="3" spans="1:99" ht="118" x14ac:dyDescent="0.2">
      <c r="A3" s="19"/>
      <c r="B3" s="20" t="s">
        <v>25</v>
      </c>
      <c r="C3" s="20" t="s">
        <v>26</v>
      </c>
      <c r="D3" s="20" t="s">
        <v>27</v>
      </c>
      <c r="E3" s="20" t="s">
        <v>28</v>
      </c>
      <c r="F3" s="20" t="s">
        <v>29</v>
      </c>
      <c r="G3" s="20" t="s">
        <v>30</v>
      </c>
      <c r="H3" s="20" t="s">
        <v>31</v>
      </c>
      <c r="I3" s="20" t="s">
        <v>32</v>
      </c>
      <c r="J3" s="20" t="s">
        <v>33</v>
      </c>
      <c r="L3" s="19"/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30</v>
      </c>
      <c r="S3" s="20" t="s">
        <v>31</v>
      </c>
      <c r="T3" s="20" t="s">
        <v>32</v>
      </c>
      <c r="U3" s="20" t="s">
        <v>33</v>
      </c>
      <c r="V3" s="20"/>
      <c r="W3" s="19"/>
      <c r="X3" s="20" t="s">
        <v>25</v>
      </c>
      <c r="Y3" s="20" t="s">
        <v>26</v>
      </c>
      <c r="Z3" s="20" t="s">
        <v>27</v>
      </c>
      <c r="AA3" s="20" t="s">
        <v>28</v>
      </c>
      <c r="AB3" s="20" t="s">
        <v>29</v>
      </c>
      <c r="AC3" s="20" t="s">
        <v>30</v>
      </c>
      <c r="AD3" s="20" t="s">
        <v>31</v>
      </c>
      <c r="AE3" s="20" t="s">
        <v>32</v>
      </c>
      <c r="AF3" s="20" t="s">
        <v>33</v>
      </c>
      <c r="AG3" s="20"/>
      <c r="AH3" s="20"/>
      <c r="AI3" s="20"/>
      <c r="AJ3" s="20"/>
      <c r="AK3" s="20"/>
      <c r="AL3" s="26" t="s">
        <v>75</v>
      </c>
      <c r="AM3" s="26" t="s">
        <v>1</v>
      </c>
      <c r="BB3" s="19"/>
      <c r="BC3" s="20" t="s">
        <v>25</v>
      </c>
      <c r="BD3" s="20" t="s">
        <v>26</v>
      </c>
      <c r="BE3" s="20" t="s">
        <v>27</v>
      </c>
      <c r="BF3" s="20" t="s">
        <v>28</v>
      </c>
      <c r="BG3" s="20" t="s">
        <v>29</v>
      </c>
      <c r="BH3" s="20" t="s">
        <v>30</v>
      </c>
      <c r="BI3" s="20" t="s">
        <v>31</v>
      </c>
      <c r="BJ3" s="20" t="s">
        <v>32</v>
      </c>
      <c r="BK3" s="20" t="s">
        <v>33</v>
      </c>
      <c r="BM3" s="19"/>
      <c r="BN3" s="20" t="s">
        <v>25</v>
      </c>
      <c r="BO3" s="20" t="s">
        <v>26</v>
      </c>
      <c r="BP3" s="20" t="s">
        <v>27</v>
      </c>
      <c r="BQ3" s="20" t="s">
        <v>28</v>
      </c>
      <c r="BR3" s="20" t="s">
        <v>29</v>
      </c>
      <c r="BS3" s="20" t="s">
        <v>30</v>
      </c>
      <c r="BT3" s="20" t="s">
        <v>31</v>
      </c>
      <c r="BU3" s="20" t="s">
        <v>32</v>
      </c>
      <c r="BV3" s="20" t="s">
        <v>33</v>
      </c>
      <c r="BY3" s="26" t="s">
        <v>61</v>
      </c>
      <c r="CB3" s="20" t="s">
        <v>25</v>
      </c>
      <c r="CC3" s="20" t="s">
        <v>26</v>
      </c>
      <c r="CD3" s="20" t="s">
        <v>27</v>
      </c>
      <c r="CE3" s="20" t="s">
        <v>28</v>
      </c>
      <c r="CF3" s="20" t="s">
        <v>29</v>
      </c>
      <c r="CG3" s="20" t="s">
        <v>30</v>
      </c>
      <c r="CH3" s="20" t="s">
        <v>31</v>
      </c>
      <c r="CI3" s="20" t="s">
        <v>32</v>
      </c>
      <c r="CJ3" s="20" t="s">
        <v>33</v>
      </c>
      <c r="CM3" s="20" t="s">
        <v>25</v>
      </c>
      <c r="CN3" s="20" t="s">
        <v>26</v>
      </c>
      <c r="CO3" s="20" t="s">
        <v>27</v>
      </c>
      <c r="CP3" s="20" t="s">
        <v>28</v>
      </c>
      <c r="CQ3" s="20" t="s">
        <v>29</v>
      </c>
      <c r="CR3" s="20" t="s">
        <v>30</v>
      </c>
      <c r="CS3" s="20" t="s">
        <v>31</v>
      </c>
      <c r="CT3" s="20" t="s">
        <v>32</v>
      </c>
      <c r="CU3" s="20" t="s">
        <v>33</v>
      </c>
    </row>
    <row r="4" spans="1:99" x14ac:dyDescent="0.2">
      <c r="A4" s="22" t="s">
        <v>35</v>
      </c>
      <c r="B4" s="24">
        <v>3</v>
      </c>
      <c r="C4" s="24">
        <v>3</v>
      </c>
      <c r="D4" s="24">
        <v>2</v>
      </c>
      <c r="E4" s="24">
        <v>0</v>
      </c>
      <c r="F4" s="24">
        <v>0</v>
      </c>
      <c r="G4" s="24">
        <v>0</v>
      </c>
      <c r="H4" s="24">
        <v>0</v>
      </c>
      <c r="I4" s="24">
        <v>0</v>
      </c>
      <c r="J4" s="24">
        <v>0</v>
      </c>
      <c r="L4" s="22" t="s">
        <v>35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1</v>
      </c>
      <c r="U4" s="24">
        <v>0</v>
      </c>
      <c r="V4" s="31"/>
      <c r="W4" s="22" t="s">
        <v>35</v>
      </c>
      <c r="X4" s="24">
        <f>B4+M4</f>
        <v>3</v>
      </c>
      <c r="Y4" s="24">
        <f t="shared" ref="Y4:AF19" si="0">C4+N4</f>
        <v>3</v>
      </c>
      <c r="Z4" s="24">
        <f t="shared" si="0"/>
        <v>2</v>
      </c>
      <c r="AA4" s="24">
        <f t="shared" si="0"/>
        <v>0</v>
      </c>
      <c r="AB4" s="24">
        <f t="shared" si="0"/>
        <v>0</v>
      </c>
      <c r="AC4" s="24">
        <f t="shared" si="0"/>
        <v>0</v>
      </c>
      <c r="AD4" s="24">
        <f t="shared" si="0"/>
        <v>0</v>
      </c>
      <c r="AE4" s="24">
        <f t="shared" si="0"/>
        <v>1</v>
      </c>
      <c r="AF4" s="24">
        <f t="shared" si="0"/>
        <v>0</v>
      </c>
      <c r="AG4" s="31"/>
      <c r="AH4" s="31"/>
      <c r="AI4" s="31"/>
      <c r="AJ4" s="31"/>
      <c r="AK4" s="31"/>
      <c r="AL4" s="21" t="s">
        <v>70</v>
      </c>
      <c r="AM4" s="23">
        <f>X23+AB23+AC23+AD23+AE23</f>
        <v>90</v>
      </c>
      <c r="BB4" s="22" t="s">
        <v>35</v>
      </c>
      <c r="BC4" s="24">
        <f t="shared" ref="BC4:BC22" si="1">B4-BN4</f>
        <v>0</v>
      </c>
      <c r="BD4" s="24">
        <f t="shared" ref="BD4:BD22" si="2">C4-BO4</f>
        <v>1</v>
      </c>
      <c r="BE4" s="24">
        <f t="shared" ref="BE4:BE22" si="3">D4-BP4</f>
        <v>-1</v>
      </c>
      <c r="BF4" s="24">
        <f t="shared" ref="BF4:BF22" si="4">E4-BQ4</f>
        <v>0</v>
      </c>
      <c r="BG4" s="24">
        <f t="shared" ref="BG4:BG22" si="5">F4-BR4</f>
        <v>0</v>
      </c>
      <c r="BH4" s="24">
        <f t="shared" ref="BH4:BH22" si="6">G4-BS4</f>
        <v>0</v>
      </c>
      <c r="BI4" s="24">
        <f t="shared" ref="BI4:BI22" si="7">H4-BT4</f>
        <v>0</v>
      </c>
      <c r="BJ4" s="24">
        <f t="shared" ref="BJ4:BJ22" si="8">I4-BU4</f>
        <v>0</v>
      </c>
      <c r="BK4" s="24">
        <f t="shared" ref="BK4:BK22" si="9">J4-BV4</f>
        <v>0</v>
      </c>
      <c r="BM4" s="22" t="s">
        <v>35</v>
      </c>
      <c r="BN4" s="24">
        <v>3</v>
      </c>
      <c r="BO4" s="24">
        <v>2</v>
      </c>
      <c r="BP4" s="24">
        <v>3</v>
      </c>
      <c r="BQ4" s="24"/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8">
        <f>SUM(BN4:BV4)</f>
        <v>8</v>
      </c>
      <c r="BX4" s="28">
        <f t="shared" ref="BX4:BX22" si="10">SUM(B4:J4)</f>
        <v>8</v>
      </c>
      <c r="BY4" s="21" t="s">
        <v>60</v>
      </c>
      <c r="CA4" s="22" t="s">
        <v>35</v>
      </c>
      <c r="CB4" s="24"/>
      <c r="CC4" s="24"/>
      <c r="CD4" s="24"/>
      <c r="CE4" s="24">
        <v>1</v>
      </c>
      <c r="CF4" s="24"/>
      <c r="CG4" s="24"/>
      <c r="CH4" s="24"/>
      <c r="CI4" s="24"/>
      <c r="CJ4" s="24"/>
      <c r="CL4" s="22" t="s">
        <v>35</v>
      </c>
      <c r="CM4" s="24">
        <f t="shared" ref="CM4:CU4" si="11">CB4-M4</f>
        <v>0</v>
      </c>
      <c r="CN4" s="24">
        <f t="shared" si="11"/>
        <v>0</v>
      </c>
      <c r="CO4" s="24">
        <f t="shared" si="11"/>
        <v>0</v>
      </c>
      <c r="CP4" s="24">
        <f t="shared" si="11"/>
        <v>1</v>
      </c>
      <c r="CQ4" s="24">
        <f t="shared" si="11"/>
        <v>0</v>
      </c>
      <c r="CR4" s="24">
        <f t="shared" si="11"/>
        <v>0</v>
      </c>
      <c r="CS4" s="24">
        <f t="shared" si="11"/>
        <v>0</v>
      </c>
      <c r="CT4" s="24">
        <f t="shared" si="11"/>
        <v>-1</v>
      </c>
      <c r="CU4" s="24">
        <f t="shared" si="11"/>
        <v>0</v>
      </c>
    </row>
    <row r="5" spans="1:99" x14ac:dyDescent="0.2">
      <c r="A5" s="22" t="s">
        <v>36</v>
      </c>
      <c r="B5" s="24">
        <v>5</v>
      </c>
      <c r="C5" s="24">
        <v>4</v>
      </c>
      <c r="D5" s="24">
        <v>4</v>
      </c>
      <c r="E5" s="24">
        <v>0</v>
      </c>
      <c r="F5" s="24">
        <v>1</v>
      </c>
      <c r="G5" s="24">
        <v>1</v>
      </c>
      <c r="H5" s="24">
        <v>1</v>
      </c>
      <c r="I5" s="24">
        <v>1</v>
      </c>
      <c r="J5" s="24">
        <v>1</v>
      </c>
      <c r="L5" s="22" t="s">
        <v>36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1</v>
      </c>
      <c r="U5" s="24">
        <v>0</v>
      </c>
      <c r="V5" s="31"/>
      <c r="W5" s="22" t="s">
        <v>36</v>
      </c>
      <c r="X5" s="24">
        <f t="shared" ref="X5:X22" si="12">B5+M5</f>
        <v>5</v>
      </c>
      <c r="Y5" s="24">
        <f t="shared" si="0"/>
        <v>4</v>
      </c>
      <c r="Z5" s="24">
        <f t="shared" si="0"/>
        <v>4</v>
      </c>
      <c r="AA5" s="24">
        <f t="shared" si="0"/>
        <v>0</v>
      </c>
      <c r="AB5" s="24">
        <f t="shared" si="0"/>
        <v>1</v>
      </c>
      <c r="AC5" s="24">
        <f t="shared" si="0"/>
        <v>1</v>
      </c>
      <c r="AD5" s="24">
        <f t="shared" si="0"/>
        <v>1</v>
      </c>
      <c r="AE5" s="24">
        <f t="shared" si="0"/>
        <v>2</v>
      </c>
      <c r="AF5" s="24">
        <f t="shared" si="0"/>
        <v>1</v>
      </c>
      <c r="AG5" s="31"/>
      <c r="AH5" s="31"/>
      <c r="AI5" s="31"/>
      <c r="AJ5" s="31"/>
      <c r="AK5" s="31"/>
      <c r="AL5" s="21" t="s">
        <v>71</v>
      </c>
      <c r="AM5" s="23">
        <f>169-AM4</f>
        <v>79</v>
      </c>
      <c r="BB5" s="22" t="s">
        <v>36</v>
      </c>
      <c r="BC5" s="24">
        <f t="shared" si="1"/>
        <v>0</v>
      </c>
      <c r="BD5" s="24">
        <f t="shared" si="2"/>
        <v>1</v>
      </c>
      <c r="BE5" s="24">
        <f t="shared" si="3"/>
        <v>-3</v>
      </c>
      <c r="BF5" s="24">
        <f t="shared" si="4"/>
        <v>0</v>
      </c>
      <c r="BG5" s="24">
        <f t="shared" si="5"/>
        <v>1</v>
      </c>
      <c r="BH5" s="24">
        <f t="shared" si="6"/>
        <v>1</v>
      </c>
      <c r="BI5" s="24">
        <f t="shared" si="7"/>
        <v>1</v>
      </c>
      <c r="BJ5" s="24">
        <f t="shared" si="8"/>
        <v>1</v>
      </c>
      <c r="BK5" s="24">
        <f t="shared" si="9"/>
        <v>0</v>
      </c>
      <c r="BM5" s="22" t="s">
        <v>36</v>
      </c>
      <c r="BN5" s="24">
        <v>5</v>
      </c>
      <c r="BO5" s="24">
        <v>3</v>
      </c>
      <c r="BP5" s="24">
        <v>7</v>
      </c>
      <c r="BQ5" s="24">
        <v>0</v>
      </c>
      <c r="BR5" s="24">
        <v>0</v>
      </c>
      <c r="BS5" s="24">
        <v>0</v>
      </c>
      <c r="BT5" s="24">
        <v>0</v>
      </c>
      <c r="BU5" s="24"/>
      <c r="BV5" s="24">
        <v>1</v>
      </c>
      <c r="BW5" s="28">
        <f t="shared" ref="BW5:BW22" si="13">SUM(BN5:BV5)</f>
        <v>16</v>
      </c>
      <c r="BX5" s="28">
        <f t="shared" si="10"/>
        <v>18</v>
      </c>
      <c r="BY5" s="21" t="s">
        <v>62</v>
      </c>
      <c r="CA5" s="22" t="s">
        <v>36</v>
      </c>
      <c r="CB5" s="24"/>
      <c r="CC5" s="24"/>
      <c r="CD5" s="24"/>
      <c r="CE5" s="24"/>
      <c r="CF5" s="24"/>
      <c r="CG5" s="24"/>
      <c r="CH5" s="24"/>
      <c r="CI5" s="24">
        <v>1</v>
      </c>
      <c r="CJ5" s="24"/>
      <c r="CL5" s="22" t="s">
        <v>36</v>
      </c>
      <c r="CM5" s="24">
        <f t="shared" ref="CM5:CM22" si="14">CB5-M5</f>
        <v>0</v>
      </c>
      <c r="CN5" s="24">
        <f t="shared" ref="CN5:CN19" si="15">CC5-N5</f>
        <v>0</v>
      </c>
      <c r="CO5" s="24">
        <f t="shared" ref="CO5:CO19" si="16">CD5-O5</f>
        <v>0</v>
      </c>
      <c r="CP5" s="24">
        <f t="shared" ref="CP5:CP19" si="17">CE5-P5</f>
        <v>0</v>
      </c>
      <c r="CQ5" s="24">
        <f t="shared" ref="CQ5:CQ19" si="18">CF5-Q5</f>
        <v>0</v>
      </c>
      <c r="CR5" s="24">
        <f t="shared" ref="CR5:CR19" si="19">CG5-R5</f>
        <v>0</v>
      </c>
      <c r="CS5" s="24">
        <f t="shared" ref="CS5:CS19" si="20">CH5-S5</f>
        <v>0</v>
      </c>
      <c r="CT5" s="24">
        <f t="shared" ref="CT5:CT19" si="21">CI5-T5</f>
        <v>0</v>
      </c>
      <c r="CU5" s="24">
        <f t="shared" ref="CU5:CU19" si="22">CJ5-U5</f>
        <v>0</v>
      </c>
    </row>
    <row r="6" spans="1:99" x14ac:dyDescent="0.2">
      <c r="A6" s="22" t="s">
        <v>37</v>
      </c>
      <c r="B6" s="24">
        <v>5</v>
      </c>
      <c r="C6" s="24">
        <v>2</v>
      </c>
      <c r="D6" s="24">
        <v>4</v>
      </c>
      <c r="E6" s="24">
        <v>0</v>
      </c>
      <c r="F6" s="24">
        <v>1</v>
      </c>
      <c r="G6" s="24">
        <v>2</v>
      </c>
      <c r="H6" s="24">
        <v>0</v>
      </c>
      <c r="I6" s="24">
        <v>3</v>
      </c>
      <c r="J6" s="24">
        <v>2</v>
      </c>
      <c r="L6" s="22" t="s">
        <v>37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1</v>
      </c>
      <c r="S6" s="24">
        <v>0</v>
      </c>
      <c r="T6" s="24">
        <v>0</v>
      </c>
      <c r="U6" s="24">
        <v>0</v>
      </c>
      <c r="V6" s="31"/>
      <c r="W6" s="22" t="s">
        <v>37</v>
      </c>
      <c r="X6" s="24">
        <f t="shared" si="12"/>
        <v>5</v>
      </c>
      <c r="Y6" s="24">
        <f t="shared" si="0"/>
        <v>2</v>
      </c>
      <c r="Z6" s="24">
        <f t="shared" si="0"/>
        <v>4</v>
      </c>
      <c r="AA6" s="24">
        <f t="shared" si="0"/>
        <v>0</v>
      </c>
      <c r="AB6" s="24">
        <f t="shared" si="0"/>
        <v>1</v>
      </c>
      <c r="AC6" s="24">
        <f t="shared" si="0"/>
        <v>3</v>
      </c>
      <c r="AD6" s="24">
        <f t="shared" si="0"/>
        <v>0</v>
      </c>
      <c r="AE6" s="24">
        <f t="shared" si="0"/>
        <v>3</v>
      </c>
      <c r="AF6" s="24">
        <f t="shared" si="0"/>
        <v>2</v>
      </c>
      <c r="AG6" s="31"/>
      <c r="AH6" s="31"/>
      <c r="AI6" s="31"/>
      <c r="AJ6" s="31"/>
      <c r="AK6" s="31"/>
      <c r="AL6" s="21" t="s">
        <v>72</v>
      </c>
      <c r="AM6" s="23">
        <f>X23+AE23+AD23</f>
        <v>77</v>
      </c>
      <c r="BB6" s="22" t="s">
        <v>37</v>
      </c>
      <c r="BC6" s="24">
        <f t="shared" si="1"/>
        <v>-1</v>
      </c>
      <c r="BD6" s="24">
        <f t="shared" si="2"/>
        <v>0</v>
      </c>
      <c r="BE6" s="24">
        <f t="shared" si="3"/>
        <v>-2</v>
      </c>
      <c r="BF6" s="24">
        <f t="shared" si="4"/>
        <v>0</v>
      </c>
      <c r="BG6" s="24">
        <f t="shared" si="5"/>
        <v>0</v>
      </c>
      <c r="BH6" s="24">
        <f t="shared" si="6"/>
        <v>2</v>
      </c>
      <c r="BI6" s="24">
        <f t="shared" si="7"/>
        <v>0</v>
      </c>
      <c r="BJ6" s="24">
        <f t="shared" si="8"/>
        <v>2</v>
      </c>
      <c r="BK6" s="24">
        <f t="shared" si="9"/>
        <v>0</v>
      </c>
      <c r="BM6" s="22" t="s">
        <v>37</v>
      </c>
      <c r="BN6" s="24">
        <v>6</v>
      </c>
      <c r="BO6" s="24">
        <v>2</v>
      </c>
      <c r="BP6" s="24">
        <v>6</v>
      </c>
      <c r="BQ6" s="24"/>
      <c r="BR6" s="24">
        <v>1</v>
      </c>
      <c r="BS6" s="24">
        <v>0</v>
      </c>
      <c r="BT6" s="24">
        <v>0</v>
      </c>
      <c r="BU6" s="24">
        <v>1</v>
      </c>
      <c r="BV6" s="24">
        <v>2</v>
      </c>
      <c r="BW6" s="28">
        <f t="shared" si="13"/>
        <v>18</v>
      </c>
      <c r="BX6" s="28">
        <f t="shared" si="10"/>
        <v>19</v>
      </c>
      <c r="BY6" s="21" t="s">
        <v>60</v>
      </c>
      <c r="CA6" s="22" t="s">
        <v>37</v>
      </c>
      <c r="CB6" s="24"/>
      <c r="CC6" s="24"/>
      <c r="CD6" s="24"/>
      <c r="CE6" s="24">
        <v>1</v>
      </c>
      <c r="CF6" s="24"/>
      <c r="CG6" s="24"/>
      <c r="CH6" s="24"/>
      <c r="CI6" s="24"/>
      <c r="CJ6" s="24"/>
      <c r="CL6" s="22" t="s">
        <v>37</v>
      </c>
      <c r="CM6" s="24">
        <f t="shared" si="14"/>
        <v>0</v>
      </c>
      <c r="CN6" s="24">
        <f t="shared" si="15"/>
        <v>0</v>
      </c>
      <c r="CO6" s="24">
        <f t="shared" si="16"/>
        <v>0</v>
      </c>
      <c r="CP6" s="24">
        <f t="shared" si="17"/>
        <v>1</v>
      </c>
      <c r="CQ6" s="24">
        <f t="shared" si="18"/>
        <v>0</v>
      </c>
      <c r="CR6" s="24">
        <f t="shared" si="19"/>
        <v>-1</v>
      </c>
      <c r="CS6" s="24">
        <f t="shared" si="20"/>
        <v>0</v>
      </c>
      <c r="CT6" s="24">
        <f t="shared" si="21"/>
        <v>0</v>
      </c>
      <c r="CU6" s="24">
        <f t="shared" si="22"/>
        <v>0</v>
      </c>
    </row>
    <row r="7" spans="1:99" x14ac:dyDescent="0.2">
      <c r="A7" s="22" t="s">
        <v>38</v>
      </c>
      <c r="B7" s="24">
        <v>3</v>
      </c>
      <c r="C7" s="24">
        <v>1</v>
      </c>
      <c r="D7" s="24">
        <v>1</v>
      </c>
      <c r="E7" s="24">
        <v>0</v>
      </c>
      <c r="F7" s="24">
        <v>0</v>
      </c>
      <c r="G7" s="24">
        <v>0</v>
      </c>
      <c r="H7" s="24">
        <v>1</v>
      </c>
      <c r="I7" s="24">
        <v>0</v>
      </c>
      <c r="J7" s="24">
        <v>0</v>
      </c>
      <c r="L7" s="22" t="s">
        <v>38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1</v>
      </c>
      <c r="U7" s="24">
        <v>0</v>
      </c>
      <c r="V7" s="31"/>
      <c r="W7" s="22" t="s">
        <v>38</v>
      </c>
      <c r="X7" s="24">
        <f t="shared" si="12"/>
        <v>3</v>
      </c>
      <c r="Y7" s="24">
        <f t="shared" si="0"/>
        <v>1</v>
      </c>
      <c r="Z7" s="24">
        <f t="shared" si="0"/>
        <v>1</v>
      </c>
      <c r="AA7" s="24">
        <f t="shared" si="0"/>
        <v>0</v>
      </c>
      <c r="AB7" s="24">
        <f t="shared" si="0"/>
        <v>0</v>
      </c>
      <c r="AC7" s="24">
        <f t="shared" si="0"/>
        <v>0</v>
      </c>
      <c r="AD7" s="24">
        <f t="shared" si="0"/>
        <v>1</v>
      </c>
      <c r="AE7" s="24">
        <f t="shared" si="0"/>
        <v>1</v>
      </c>
      <c r="AF7" s="24">
        <f t="shared" si="0"/>
        <v>0</v>
      </c>
      <c r="AG7" s="31"/>
      <c r="AH7" s="31"/>
      <c r="AI7" s="31"/>
      <c r="AJ7" s="31"/>
      <c r="AK7" s="31"/>
      <c r="AL7" s="21" t="s">
        <v>76</v>
      </c>
      <c r="AM7" s="23">
        <f>X23+AE23+AD23+AC23</f>
        <v>88</v>
      </c>
      <c r="BB7" s="22" t="s">
        <v>38</v>
      </c>
      <c r="BC7" s="24">
        <f t="shared" si="1"/>
        <v>0</v>
      </c>
      <c r="BD7" s="24">
        <f t="shared" si="2"/>
        <v>0</v>
      </c>
      <c r="BE7" s="24">
        <f t="shared" si="3"/>
        <v>0</v>
      </c>
      <c r="BF7" s="24">
        <f t="shared" si="4"/>
        <v>0</v>
      </c>
      <c r="BG7" s="24">
        <f t="shared" si="5"/>
        <v>0</v>
      </c>
      <c r="BH7" s="24">
        <f t="shared" si="6"/>
        <v>0</v>
      </c>
      <c r="BI7" s="24">
        <f t="shared" si="7"/>
        <v>0</v>
      </c>
      <c r="BJ7" s="24">
        <f t="shared" si="8"/>
        <v>0</v>
      </c>
      <c r="BK7" s="24">
        <f t="shared" si="9"/>
        <v>0</v>
      </c>
      <c r="BM7" s="22" t="s">
        <v>38</v>
      </c>
      <c r="BN7" s="24">
        <v>3</v>
      </c>
      <c r="BO7" s="24">
        <v>1</v>
      </c>
      <c r="BP7" s="24">
        <v>1</v>
      </c>
      <c r="BQ7" s="24">
        <v>0</v>
      </c>
      <c r="BR7" s="24">
        <v>0</v>
      </c>
      <c r="BS7" s="24">
        <v>0</v>
      </c>
      <c r="BT7" s="24">
        <v>1</v>
      </c>
      <c r="BU7" s="24"/>
      <c r="BV7" s="24">
        <v>0</v>
      </c>
      <c r="BW7" s="28">
        <f t="shared" si="13"/>
        <v>6</v>
      </c>
      <c r="BX7" s="28">
        <f t="shared" si="10"/>
        <v>6</v>
      </c>
      <c r="BY7" s="21" t="s">
        <v>62</v>
      </c>
      <c r="CA7" s="22" t="s">
        <v>38</v>
      </c>
      <c r="CB7" s="24"/>
      <c r="CC7" s="24"/>
      <c r="CD7" s="24"/>
      <c r="CE7" s="24"/>
      <c r="CF7" s="24"/>
      <c r="CG7" s="24"/>
      <c r="CH7" s="24"/>
      <c r="CI7" s="24">
        <v>1</v>
      </c>
      <c r="CJ7" s="24"/>
      <c r="CL7" s="22" t="s">
        <v>38</v>
      </c>
      <c r="CM7" s="24">
        <f t="shared" si="14"/>
        <v>0</v>
      </c>
      <c r="CN7" s="24">
        <f t="shared" si="15"/>
        <v>0</v>
      </c>
      <c r="CO7" s="24">
        <f t="shared" si="16"/>
        <v>0</v>
      </c>
      <c r="CP7" s="24">
        <f t="shared" si="17"/>
        <v>0</v>
      </c>
      <c r="CQ7" s="24">
        <f t="shared" si="18"/>
        <v>0</v>
      </c>
      <c r="CR7" s="24">
        <f t="shared" si="19"/>
        <v>0</v>
      </c>
      <c r="CS7" s="24">
        <f t="shared" si="20"/>
        <v>0</v>
      </c>
      <c r="CT7" s="24">
        <f t="shared" si="21"/>
        <v>0</v>
      </c>
      <c r="CU7" s="24">
        <f t="shared" si="22"/>
        <v>0</v>
      </c>
    </row>
    <row r="8" spans="1:99" x14ac:dyDescent="0.2">
      <c r="A8" s="22" t="s">
        <v>39</v>
      </c>
      <c r="B8" s="24">
        <v>3</v>
      </c>
      <c r="C8" s="24">
        <v>1</v>
      </c>
      <c r="D8" s="24">
        <v>0</v>
      </c>
      <c r="E8" s="24">
        <v>0</v>
      </c>
      <c r="F8" s="24">
        <v>0</v>
      </c>
      <c r="G8" s="24">
        <v>0</v>
      </c>
      <c r="H8" s="24">
        <v>1</v>
      </c>
      <c r="I8" s="24">
        <v>0</v>
      </c>
      <c r="J8" s="24">
        <v>0</v>
      </c>
      <c r="L8" s="22" t="s">
        <v>39</v>
      </c>
      <c r="M8" s="24">
        <v>0</v>
      </c>
      <c r="N8" s="24">
        <v>0</v>
      </c>
      <c r="O8" s="24">
        <v>1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31"/>
      <c r="W8" s="22" t="s">
        <v>39</v>
      </c>
      <c r="X8" s="24">
        <f t="shared" si="12"/>
        <v>3</v>
      </c>
      <c r="Y8" s="24">
        <f t="shared" si="0"/>
        <v>1</v>
      </c>
      <c r="Z8" s="24">
        <f t="shared" si="0"/>
        <v>1</v>
      </c>
      <c r="AA8" s="24">
        <f t="shared" si="0"/>
        <v>0</v>
      </c>
      <c r="AB8" s="24">
        <f t="shared" si="0"/>
        <v>0</v>
      </c>
      <c r="AC8" s="24">
        <f t="shared" si="0"/>
        <v>0</v>
      </c>
      <c r="AD8" s="24">
        <f t="shared" si="0"/>
        <v>1</v>
      </c>
      <c r="AE8" s="24">
        <f t="shared" si="0"/>
        <v>0</v>
      </c>
      <c r="AF8" s="24">
        <f t="shared" si="0"/>
        <v>0</v>
      </c>
      <c r="AG8" s="31"/>
      <c r="AH8" s="31"/>
      <c r="AI8" s="31"/>
      <c r="AJ8" s="31"/>
      <c r="AK8" s="31"/>
      <c r="AL8" s="21" t="s">
        <v>73</v>
      </c>
      <c r="AM8" s="23">
        <f>Y23+Z23</f>
        <v>71</v>
      </c>
      <c r="BB8" s="22" t="s">
        <v>39</v>
      </c>
      <c r="BC8" s="24">
        <f t="shared" si="1"/>
        <v>0</v>
      </c>
      <c r="BD8" s="24">
        <f t="shared" si="2"/>
        <v>0</v>
      </c>
      <c r="BE8" s="24">
        <f t="shared" si="3"/>
        <v>-1</v>
      </c>
      <c r="BF8" s="24">
        <f t="shared" si="4"/>
        <v>0</v>
      </c>
      <c r="BG8" s="24">
        <f t="shared" si="5"/>
        <v>0</v>
      </c>
      <c r="BH8" s="24">
        <f t="shared" si="6"/>
        <v>0</v>
      </c>
      <c r="BI8" s="24">
        <f t="shared" si="7"/>
        <v>0</v>
      </c>
      <c r="BJ8" s="24">
        <f t="shared" si="8"/>
        <v>0</v>
      </c>
      <c r="BK8" s="24">
        <f t="shared" si="9"/>
        <v>0</v>
      </c>
      <c r="BM8" s="22" t="s">
        <v>39</v>
      </c>
      <c r="BN8" s="24">
        <v>3</v>
      </c>
      <c r="BO8" s="24">
        <v>1</v>
      </c>
      <c r="BP8" s="24">
        <v>1</v>
      </c>
      <c r="BQ8" s="24">
        <v>0</v>
      </c>
      <c r="BR8" s="24">
        <v>0</v>
      </c>
      <c r="BS8" s="24">
        <v>0</v>
      </c>
      <c r="BT8" s="24">
        <v>1</v>
      </c>
      <c r="BU8" s="24">
        <v>0</v>
      </c>
      <c r="BV8" s="24"/>
      <c r="BW8" s="28">
        <f t="shared" si="13"/>
        <v>6</v>
      </c>
      <c r="BX8" s="28">
        <f t="shared" si="10"/>
        <v>5</v>
      </c>
      <c r="BY8" s="21" t="s">
        <v>63</v>
      </c>
      <c r="CA8" s="22" t="s">
        <v>39</v>
      </c>
      <c r="CB8" s="24"/>
      <c r="CC8" s="24"/>
      <c r="CD8" s="24"/>
      <c r="CE8" s="24"/>
      <c r="CF8" s="24"/>
      <c r="CG8" s="24"/>
      <c r="CH8" s="24"/>
      <c r="CI8" s="24"/>
      <c r="CJ8" s="24">
        <v>1</v>
      </c>
      <c r="CL8" s="22" t="s">
        <v>39</v>
      </c>
      <c r="CM8" s="24">
        <f t="shared" si="14"/>
        <v>0</v>
      </c>
      <c r="CN8" s="24">
        <f t="shared" si="15"/>
        <v>0</v>
      </c>
      <c r="CO8" s="24">
        <f t="shared" si="16"/>
        <v>-1</v>
      </c>
      <c r="CP8" s="24">
        <f t="shared" si="17"/>
        <v>0</v>
      </c>
      <c r="CQ8" s="24">
        <f t="shared" si="18"/>
        <v>0</v>
      </c>
      <c r="CR8" s="24">
        <f t="shared" si="19"/>
        <v>0</v>
      </c>
      <c r="CS8" s="24">
        <f t="shared" si="20"/>
        <v>0</v>
      </c>
      <c r="CT8" s="24">
        <f t="shared" si="21"/>
        <v>0</v>
      </c>
      <c r="CU8" s="24">
        <f t="shared" si="22"/>
        <v>1</v>
      </c>
    </row>
    <row r="9" spans="1:99" x14ac:dyDescent="0.2">
      <c r="A9" s="22" t="s">
        <v>40</v>
      </c>
      <c r="B9" s="24">
        <v>3</v>
      </c>
      <c r="C9" s="24">
        <v>2</v>
      </c>
      <c r="D9" s="24">
        <v>2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L9" s="22" t="s">
        <v>40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1</v>
      </c>
      <c r="T9" s="24">
        <v>0</v>
      </c>
      <c r="U9" s="24">
        <v>0</v>
      </c>
      <c r="V9" s="31"/>
      <c r="W9" s="22" t="s">
        <v>40</v>
      </c>
      <c r="X9" s="24">
        <f t="shared" si="12"/>
        <v>3</v>
      </c>
      <c r="Y9" s="24">
        <f t="shared" si="0"/>
        <v>2</v>
      </c>
      <c r="Z9" s="24">
        <f t="shared" si="0"/>
        <v>2</v>
      </c>
      <c r="AA9" s="24">
        <f t="shared" si="0"/>
        <v>0</v>
      </c>
      <c r="AB9" s="24">
        <f t="shared" si="0"/>
        <v>0</v>
      </c>
      <c r="AC9" s="24">
        <f t="shared" si="0"/>
        <v>0</v>
      </c>
      <c r="AD9" s="24">
        <f t="shared" si="0"/>
        <v>1</v>
      </c>
      <c r="AE9" s="24">
        <f t="shared" si="0"/>
        <v>0</v>
      </c>
      <c r="AF9" s="24">
        <f t="shared" si="0"/>
        <v>0</v>
      </c>
      <c r="AG9" s="31"/>
      <c r="AH9" s="31"/>
      <c r="AI9" s="31"/>
      <c r="AJ9" s="31"/>
      <c r="AK9" s="31"/>
      <c r="AL9" s="21" t="s">
        <v>74</v>
      </c>
      <c r="AM9" s="23">
        <f>Z23+AA23+AF23</f>
        <v>36</v>
      </c>
      <c r="BB9" s="22" t="s">
        <v>40</v>
      </c>
      <c r="BC9" s="24">
        <f t="shared" si="1"/>
        <v>0</v>
      </c>
      <c r="BD9" s="24">
        <f t="shared" si="2"/>
        <v>0</v>
      </c>
      <c r="BE9" s="24">
        <f t="shared" si="3"/>
        <v>-1</v>
      </c>
      <c r="BF9" s="24">
        <f t="shared" si="4"/>
        <v>0</v>
      </c>
      <c r="BG9" s="24">
        <f t="shared" si="5"/>
        <v>0</v>
      </c>
      <c r="BH9" s="24">
        <f t="shared" si="6"/>
        <v>0</v>
      </c>
      <c r="BI9" s="24">
        <f t="shared" si="7"/>
        <v>0</v>
      </c>
      <c r="BJ9" s="24">
        <f t="shared" si="8"/>
        <v>0</v>
      </c>
      <c r="BK9" s="24">
        <f t="shared" si="9"/>
        <v>0</v>
      </c>
      <c r="BM9" s="22" t="s">
        <v>40</v>
      </c>
      <c r="BN9" s="24">
        <v>3</v>
      </c>
      <c r="BO9" s="24">
        <v>2</v>
      </c>
      <c r="BP9" s="24">
        <v>3</v>
      </c>
      <c r="BQ9" s="24">
        <v>0</v>
      </c>
      <c r="BR9" s="24">
        <v>0</v>
      </c>
      <c r="BS9" s="24">
        <v>0</v>
      </c>
      <c r="BT9" s="24"/>
      <c r="BU9" s="24">
        <v>0</v>
      </c>
      <c r="BV9" s="24">
        <v>0</v>
      </c>
      <c r="BW9" s="28">
        <f t="shared" si="13"/>
        <v>8</v>
      </c>
      <c r="BX9" s="28">
        <f t="shared" si="10"/>
        <v>7</v>
      </c>
      <c r="BY9" s="21" t="s">
        <v>64</v>
      </c>
      <c r="CA9" s="22" t="s">
        <v>40</v>
      </c>
      <c r="CB9" s="24"/>
      <c r="CC9" s="24"/>
      <c r="CD9" s="24"/>
      <c r="CE9" s="24"/>
      <c r="CF9" s="24"/>
      <c r="CG9" s="24"/>
      <c r="CH9" s="24">
        <v>1</v>
      </c>
      <c r="CI9" s="24"/>
      <c r="CJ9" s="24"/>
      <c r="CL9" s="22" t="s">
        <v>40</v>
      </c>
      <c r="CM9" s="24">
        <f t="shared" si="14"/>
        <v>0</v>
      </c>
      <c r="CN9" s="24">
        <f t="shared" si="15"/>
        <v>0</v>
      </c>
      <c r="CO9" s="24">
        <f t="shared" si="16"/>
        <v>0</v>
      </c>
      <c r="CP9" s="24">
        <f t="shared" si="17"/>
        <v>0</v>
      </c>
      <c r="CQ9" s="24">
        <f t="shared" si="18"/>
        <v>0</v>
      </c>
      <c r="CR9" s="24">
        <f t="shared" si="19"/>
        <v>0</v>
      </c>
      <c r="CS9" s="24">
        <f t="shared" si="20"/>
        <v>0</v>
      </c>
      <c r="CT9" s="24">
        <f t="shared" si="21"/>
        <v>0</v>
      </c>
      <c r="CU9" s="24">
        <f t="shared" si="22"/>
        <v>0</v>
      </c>
    </row>
    <row r="10" spans="1:99" x14ac:dyDescent="0.2">
      <c r="A10" s="22" t="s">
        <v>41</v>
      </c>
      <c r="B10" s="24">
        <v>2</v>
      </c>
      <c r="C10" s="24">
        <v>2</v>
      </c>
      <c r="D10" s="24">
        <v>2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L10" s="22" t="s">
        <v>41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1</v>
      </c>
      <c r="U10" s="24">
        <v>0</v>
      </c>
      <c r="V10" s="31"/>
      <c r="W10" s="22" t="s">
        <v>41</v>
      </c>
      <c r="X10" s="24">
        <f t="shared" si="12"/>
        <v>2</v>
      </c>
      <c r="Y10" s="24">
        <f t="shared" si="0"/>
        <v>2</v>
      </c>
      <c r="Z10" s="24">
        <f t="shared" si="0"/>
        <v>2</v>
      </c>
      <c r="AA10" s="24">
        <f t="shared" si="0"/>
        <v>0</v>
      </c>
      <c r="AB10" s="24">
        <f t="shared" si="0"/>
        <v>0</v>
      </c>
      <c r="AC10" s="24">
        <f t="shared" si="0"/>
        <v>0</v>
      </c>
      <c r="AD10" s="24">
        <f t="shared" si="0"/>
        <v>0</v>
      </c>
      <c r="AE10" s="24">
        <f t="shared" si="0"/>
        <v>1</v>
      </c>
      <c r="AF10" s="24">
        <f t="shared" si="0"/>
        <v>0</v>
      </c>
      <c r="AG10" s="31"/>
      <c r="AH10" s="31"/>
      <c r="AI10" s="31"/>
      <c r="AJ10" s="31"/>
      <c r="AK10" s="31"/>
      <c r="AL10" s="21" t="s">
        <v>113</v>
      </c>
      <c r="AM10" s="23">
        <f>Z23+Y23+AF23</f>
        <v>77</v>
      </c>
      <c r="BB10" s="22" t="s">
        <v>41</v>
      </c>
      <c r="BC10" s="24">
        <f t="shared" si="1"/>
        <v>0</v>
      </c>
      <c r="BD10" s="24">
        <f t="shared" si="2"/>
        <v>0</v>
      </c>
      <c r="BE10" s="24">
        <f t="shared" si="3"/>
        <v>0</v>
      </c>
      <c r="BF10" s="24">
        <f t="shared" si="4"/>
        <v>0</v>
      </c>
      <c r="BG10" s="24">
        <f t="shared" si="5"/>
        <v>0</v>
      </c>
      <c r="BH10" s="24">
        <f t="shared" si="6"/>
        <v>0</v>
      </c>
      <c r="BI10" s="24">
        <f t="shared" si="7"/>
        <v>0</v>
      </c>
      <c r="BJ10" s="24">
        <f t="shared" si="8"/>
        <v>0</v>
      </c>
      <c r="BK10" s="24">
        <f t="shared" si="9"/>
        <v>0</v>
      </c>
      <c r="BM10" s="22" t="s">
        <v>41</v>
      </c>
      <c r="BN10" s="24">
        <v>2</v>
      </c>
      <c r="BO10" s="24">
        <v>2</v>
      </c>
      <c r="BP10" s="24">
        <v>2</v>
      </c>
      <c r="BQ10" s="24"/>
      <c r="BR10" s="24">
        <v>0</v>
      </c>
      <c r="BS10" s="24">
        <v>0</v>
      </c>
      <c r="BT10" s="24">
        <v>0</v>
      </c>
      <c r="BU10" s="24">
        <v>0</v>
      </c>
      <c r="BV10" s="24">
        <v>0</v>
      </c>
      <c r="BW10" s="28">
        <f t="shared" si="13"/>
        <v>6</v>
      </c>
      <c r="BX10" s="28">
        <f t="shared" si="10"/>
        <v>6</v>
      </c>
      <c r="BY10" s="21" t="s">
        <v>60</v>
      </c>
      <c r="CA10" s="22" t="s">
        <v>41</v>
      </c>
      <c r="CB10" s="24"/>
      <c r="CC10" s="24"/>
      <c r="CD10" s="24"/>
      <c r="CE10" s="24">
        <v>1</v>
      </c>
      <c r="CF10" s="24"/>
      <c r="CG10" s="24"/>
      <c r="CH10" s="24"/>
      <c r="CI10" s="24"/>
      <c r="CJ10" s="24"/>
      <c r="CL10" s="22" t="s">
        <v>41</v>
      </c>
      <c r="CM10" s="24">
        <f t="shared" si="14"/>
        <v>0</v>
      </c>
      <c r="CN10" s="24">
        <f t="shared" si="15"/>
        <v>0</v>
      </c>
      <c r="CO10" s="24">
        <f t="shared" si="16"/>
        <v>0</v>
      </c>
      <c r="CP10" s="24">
        <f t="shared" si="17"/>
        <v>1</v>
      </c>
      <c r="CQ10" s="24">
        <f t="shared" si="18"/>
        <v>0</v>
      </c>
      <c r="CR10" s="24">
        <f t="shared" si="19"/>
        <v>0</v>
      </c>
      <c r="CS10" s="24">
        <f t="shared" si="20"/>
        <v>0</v>
      </c>
      <c r="CT10" s="24">
        <f t="shared" si="21"/>
        <v>-1</v>
      </c>
      <c r="CU10" s="24">
        <f t="shared" si="22"/>
        <v>0</v>
      </c>
    </row>
    <row r="11" spans="1:99" x14ac:dyDescent="0.2">
      <c r="A11" s="22" t="s">
        <v>42</v>
      </c>
      <c r="B11" s="24">
        <v>2</v>
      </c>
      <c r="C11" s="24">
        <v>2</v>
      </c>
      <c r="D11" s="24">
        <v>1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L11" s="22" t="s">
        <v>42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1</v>
      </c>
      <c r="U11" s="24">
        <v>0</v>
      </c>
      <c r="V11" s="31"/>
      <c r="W11" s="22" t="s">
        <v>42</v>
      </c>
      <c r="X11" s="24">
        <f t="shared" si="12"/>
        <v>2</v>
      </c>
      <c r="Y11" s="24">
        <f t="shared" si="0"/>
        <v>2</v>
      </c>
      <c r="Z11" s="24">
        <f t="shared" si="0"/>
        <v>1</v>
      </c>
      <c r="AA11" s="24">
        <f t="shared" si="0"/>
        <v>0</v>
      </c>
      <c r="AB11" s="24">
        <f t="shared" si="0"/>
        <v>0</v>
      </c>
      <c r="AC11" s="24">
        <f t="shared" si="0"/>
        <v>0</v>
      </c>
      <c r="AD11" s="24">
        <f t="shared" si="0"/>
        <v>0</v>
      </c>
      <c r="AE11" s="24">
        <f t="shared" si="0"/>
        <v>1</v>
      </c>
      <c r="AF11" s="24">
        <f t="shared" si="0"/>
        <v>0</v>
      </c>
      <c r="AG11" s="31"/>
      <c r="AH11" s="31"/>
      <c r="AI11" s="31"/>
      <c r="AJ11" s="31"/>
      <c r="AK11" s="31"/>
      <c r="AL11" s="21" t="s">
        <v>114</v>
      </c>
      <c r="AM11" s="23">
        <f>Z23+AA23+Y23</f>
        <v>73</v>
      </c>
      <c r="BB11" s="22" t="s">
        <v>42</v>
      </c>
      <c r="BC11" s="24">
        <f t="shared" si="1"/>
        <v>-1</v>
      </c>
      <c r="BD11" s="24">
        <f t="shared" si="2"/>
        <v>1</v>
      </c>
      <c r="BE11" s="24">
        <f t="shared" si="3"/>
        <v>0</v>
      </c>
      <c r="BF11" s="24">
        <f t="shared" si="4"/>
        <v>0</v>
      </c>
      <c r="BG11" s="24">
        <f t="shared" si="5"/>
        <v>0</v>
      </c>
      <c r="BH11" s="24">
        <f t="shared" si="6"/>
        <v>0</v>
      </c>
      <c r="BI11" s="24">
        <f t="shared" si="7"/>
        <v>0</v>
      </c>
      <c r="BJ11" s="24">
        <f t="shared" si="8"/>
        <v>0</v>
      </c>
      <c r="BK11" s="24">
        <f t="shared" si="9"/>
        <v>0</v>
      </c>
      <c r="BM11" s="22" t="s">
        <v>42</v>
      </c>
      <c r="BN11" s="24">
        <v>3</v>
      </c>
      <c r="BO11" s="24">
        <v>1</v>
      </c>
      <c r="BP11" s="24">
        <v>1</v>
      </c>
      <c r="BQ11" s="24"/>
      <c r="BR11" s="24">
        <v>0</v>
      </c>
      <c r="BS11" s="24">
        <v>0</v>
      </c>
      <c r="BT11" s="24">
        <v>0</v>
      </c>
      <c r="BU11" s="24">
        <v>0</v>
      </c>
      <c r="BV11" s="24">
        <v>0</v>
      </c>
      <c r="BW11" s="28">
        <f t="shared" si="13"/>
        <v>5</v>
      </c>
      <c r="BX11" s="28">
        <f t="shared" si="10"/>
        <v>5</v>
      </c>
      <c r="BY11" s="21" t="s">
        <v>60</v>
      </c>
      <c r="CA11" s="22" t="s">
        <v>42</v>
      </c>
      <c r="CB11" s="24"/>
      <c r="CC11" s="24"/>
      <c r="CD11" s="24"/>
      <c r="CE11" s="24">
        <v>1</v>
      </c>
      <c r="CF11" s="24"/>
      <c r="CG11" s="24"/>
      <c r="CH11" s="24"/>
      <c r="CI11" s="24"/>
      <c r="CJ11" s="24"/>
      <c r="CL11" s="22" t="s">
        <v>42</v>
      </c>
      <c r="CM11" s="24">
        <f t="shared" si="14"/>
        <v>0</v>
      </c>
      <c r="CN11" s="24">
        <f t="shared" si="15"/>
        <v>0</v>
      </c>
      <c r="CO11" s="24">
        <f t="shared" si="16"/>
        <v>0</v>
      </c>
      <c r="CP11" s="24">
        <f t="shared" si="17"/>
        <v>1</v>
      </c>
      <c r="CQ11" s="24">
        <f t="shared" si="18"/>
        <v>0</v>
      </c>
      <c r="CR11" s="24">
        <f t="shared" si="19"/>
        <v>0</v>
      </c>
      <c r="CS11" s="24">
        <f t="shared" si="20"/>
        <v>0</v>
      </c>
      <c r="CT11" s="24">
        <f t="shared" si="21"/>
        <v>-1</v>
      </c>
      <c r="CU11" s="24">
        <f t="shared" si="22"/>
        <v>0</v>
      </c>
    </row>
    <row r="12" spans="1:99" x14ac:dyDescent="0.2">
      <c r="A12" s="22" t="s">
        <v>43</v>
      </c>
      <c r="B12" s="24">
        <v>1</v>
      </c>
      <c r="C12" s="24">
        <v>1</v>
      </c>
      <c r="D12" s="24">
        <v>1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L12" s="22" t="s">
        <v>43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1</v>
      </c>
      <c r="V12" s="31"/>
      <c r="W12" s="22" t="s">
        <v>43</v>
      </c>
      <c r="X12" s="24">
        <f t="shared" si="12"/>
        <v>1</v>
      </c>
      <c r="Y12" s="24">
        <f t="shared" si="0"/>
        <v>1</v>
      </c>
      <c r="Z12" s="24">
        <f t="shared" si="0"/>
        <v>1</v>
      </c>
      <c r="AA12" s="24">
        <f t="shared" si="0"/>
        <v>0</v>
      </c>
      <c r="AB12" s="24">
        <f t="shared" si="0"/>
        <v>0</v>
      </c>
      <c r="AC12" s="24">
        <f t="shared" si="0"/>
        <v>0</v>
      </c>
      <c r="AD12" s="24">
        <f t="shared" si="0"/>
        <v>0</v>
      </c>
      <c r="AE12" s="24">
        <f t="shared" si="0"/>
        <v>0</v>
      </c>
      <c r="AF12" s="24">
        <f t="shared" si="0"/>
        <v>1</v>
      </c>
      <c r="AG12" s="31"/>
      <c r="AH12" s="31"/>
      <c r="AI12" s="31"/>
      <c r="AJ12" s="31"/>
      <c r="AK12" s="31"/>
      <c r="AL12" s="21" t="s">
        <v>115</v>
      </c>
      <c r="AM12" s="23">
        <f>Z23+AA23+AF23+Y23</f>
        <v>79</v>
      </c>
      <c r="BB12" s="22" t="s">
        <v>43</v>
      </c>
      <c r="BC12" s="24">
        <f t="shared" si="1"/>
        <v>0</v>
      </c>
      <c r="BD12" s="24">
        <f t="shared" si="2"/>
        <v>0</v>
      </c>
      <c r="BE12" s="24">
        <f t="shared" si="3"/>
        <v>0</v>
      </c>
      <c r="BF12" s="24">
        <f t="shared" si="4"/>
        <v>0</v>
      </c>
      <c r="BG12" s="24">
        <f t="shared" si="5"/>
        <v>0</v>
      </c>
      <c r="BH12" s="24">
        <f t="shared" si="6"/>
        <v>0</v>
      </c>
      <c r="BI12" s="24">
        <f t="shared" si="7"/>
        <v>0</v>
      </c>
      <c r="BJ12" s="24">
        <f t="shared" si="8"/>
        <v>0</v>
      </c>
      <c r="BK12" s="24">
        <f t="shared" si="9"/>
        <v>0</v>
      </c>
      <c r="BM12" s="22" t="s">
        <v>43</v>
      </c>
      <c r="BN12" s="24">
        <v>1</v>
      </c>
      <c r="BO12" s="24">
        <v>1</v>
      </c>
      <c r="BP12" s="24">
        <v>1</v>
      </c>
      <c r="BQ12" s="24"/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8">
        <f t="shared" si="13"/>
        <v>3</v>
      </c>
      <c r="BX12" s="28">
        <f t="shared" si="10"/>
        <v>3</v>
      </c>
      <c r="BY12" s="21" t="s">
        <v>60</v>
      </c>
      <c r="CA12" s="22" t="s">
        <v>43</v>
      </c>
      <c r="CB12" s="24"/>
      <c r="CC12" s="24"/>
      <c r="CD12" s="24"/>
      <c r="CE12" s="24">
        <v>1</v>
      </c>
      <c r="CF12" s="24"/>
      <c r="CG12" s="24"/>
      <c r="CH12" s="24"/>
      <c r="CI12" s="24"/>
      <c r="CJ12" s="24"/>
      <c r="CL12" s="22" t="s">
        <v>43</v>
      </c>
      <c r="CM12" s="24">
        <f t="shared" si="14"/>
        <v>0</v>
      </c>
      <c r="CN12" s="24">
        <f t="shared" si="15"/>
        <v>0</v>
      </c>
      <c r="CO12" s="24">
        <f t="shared" si="16"/>
        <v>0</v>
      </c>
      <c r="CP12" s="24">
        <f t="shared" si="17"/>
        <v>1</v>
      </c>
      <c r="CQ12" s="24">
        <f t="shared" si="18"/>
        <v>0</v>
      </c>
      <c r="CR12" s="24">
        <f t="shared" si="19"/>
        <v>0</v>
      </c>
      <c r="CS12" s="24">
        <f t="shared" si="20"/>
        <v>0</v>
      </c>
      <c r="CT12" s="24">
        <f t="shared" si="21"/>
        <v>0</v>
      </c>
      <c r="CU12" s="24">
        <f t="shared" si="22"/>
        <v>-1</v>
      </c>
    </row>
    <row r="13" spans="1:99" x14ac:dyDescent="0.2">
      <c r="A13" s="22" t="s">
        <v>44</v>
      </c>
      <c r="B13" s="24">
        <v>1</v>
      </c>
      <c r="C13" s="24">
        <v>2</v>
      </c>
      <c r="D13" s="24">
        <v>1</v>
      </c>
      <c r="E13" s="24">
        <v>1</v>
      </c>
      <c r="F13" s="24">
        <v>0</v>
      </c>
      <c r="G13" s="24">
        <v>0</v>
      </c>
      <c r="H13" s="24">
        <v>0</v>
      </c>
      <c r="I13" s="24">
        <v>0</v>
      </c>
      <c r="J13" s="24">
        <v>0</v>
      </c>
      <c r="L13" s="22" t="s">
        <v>44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1</v>
      </c>
      <c r="S13" s="24">
        <v>0</v>
      </c>
      <c r="T13" s="24">
        <v>0</v>
      </c>
      <c r="U13" s="24">
        <v>0</v>
      </c>
      <c r="V13" s="31"/>
      <c r="W13" s="22" t="s">
        <v>44</v>
      </c>
      <c r="X13" s="24">
        <f t="shared" si="12"/>
        <v>1</v>
      </c>
      <c r="Y13" s="24">
        <f t="shared" si="0"/>
        <v>2</v>
      </c>
      <c r="Z13" s="24">
        <f t="shared" si="0"/>
        <v>1</v>
      </c>
      <c r="AA13" s="24">
        <f t="shared" si="0"/>
        <v>1</v>
      </c>
      <c r="AB13" s="24">
        <f t="shared" si="0"/>
        <v>0</v>
      </c>
      <c r="AC13" s="24">
        <f t="shared" si="0"/>
        <v>1</v>
      </c>
      <c r="AD13" s="24">
        <f t="shared" si="0"/>
        <v>0</v>
      </c>
      <c r="AE13" s="24">
        <f t="shared" si="0"/>
        <v>0</v>
      </c>
      <c r="AF13" s="24">
        <f t="shared" si="0"/>
        <v>0</v>
      </c>
      <c r="AG13" s="31"/>
      <c r="AH13" s="31"/>
      <c r="AI13" s="31"/>
      <c r="AJ13" s="31"/>
      <c r="AK13" s="31"/>
      <c r="BB13" s="22" t="s">
        <v>44</v>
      </c>
      <c r="BC13" s="24">
        <f t="shared" si="1"/>
        <v>0</v>
      </c>
      <c r="BD13" s="24">
        <f t="shared" si="2"/>
        <v>1</v>
      </c>
      <c r="BE13" s="24">
        <f t="shared" si="3"/>
        <v>-1</v>
      </c>
      <c r="BF13" s="24">
        <f t="shared" si="4"/>
        <v>0</v>
      </c>
      <c r="BG13" s="24">
        <f t="shared" si="5"/>
        <v>0</v>
      </c>
      <c r="BH13" s="24">
        <f t="shared" si="6"/>
        <v>0</v>
      </c>
      <c r="BI13" s="24">
        <f t="shared" si="7"/>
        <v>0</v>
      </c>
      <c r="BJ13" s="24">
        <f t="shared" si="8"/>
        <v>0</v>
      </c>
      <c r="BK13" s="24">
        <f t="shared" si="9"/>
        <v>0</v>
      </c>
      <c r="BM13" s="22" t="s">
        <v>44</v>
      </c>
      <c r="BN13" s="24">
        <v>1</v>
      </c>
      <c r="BO13" s="24">
        <v>1</v>
      </c>
      <c r="BP13" s="24">
        <v>2</v>
      </c>
      <c r="BQ13" s="24">
        <v>1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8">
        <f t="shared" si="13"/>
        <v>5</v>
      </c>
      <c r="BX13" s="28">
        <f t="shared" si="10"/>
        <v>5</v>
      </c>
      <c r="BY13" s="21" t="s">
        <v>65</v>
      </c>
      <c r="CA13" s="22" t="s">
        <v>44</v>
      </c>
      <c r="CB13" s="24">
        <v>1</v>
      </c>
      <c r="CC13" s="24"/>
      <c r="CD13" s="24"/>
      <c r="CE13" s="24"/>
      <c r="CF13" s="24"/>
      <c r="CG13" s="24"/>
      <c r="CH13" s="24"/>
      <c r="CI13" s="24"/>
      <c r="CJ13" s="24"/>
      <c r="CL13" s="22" t="s">
        <v>44</v>
      </c>
      <c r="CM13" s="24">
        <f t="shared" si="14"/>
        <v>1</v>
      </c>
      <c r="CN13" s="24">
        <f t="shared" si="15"/>
        <v>0</v>
      </c>
      <c r="CO13" s="24">
        <f t="shared" si="16"/>
        <v>0</v>
      </c>
      <c r="CP13" s="24">
        <f t="shared" si="17"/>
        <v>0</v>
      </c>
      <c r="CQ13" s="24">
        <f t="shared" si="18"/>
        <v>0</v>
      </c>
      <c r="CR13" s="24">
        <f t="shared" si="19"/>
        <v>-1</v>
      </c>
      <c r="CS13" s="24">
        <f t="shared" si="20"/>
        <v>0</v>
      </c>
      <c r="CT13" s="24">
        <f t="shared" si="21"/>
        <v>0</v>
      </c>
      <c r="CU13" s="24">
        <f t="shared" si="22"/>
        <v>0</v>
      </c>
    </row>
    <row r="14" spans="1:99" x14ac:dyDescent="0.2">
      <c r="A14" s="22" t="s">
        <v>45</v>
      </c>
      <c r="B14" s="24">
        <v>3</v>
      </c>
      <c r="C14" s="24">
        <v>5</v>
      </c>
      <c r="D14" s="24">
        <v>3</v>
      </c>
      <c r="E14" s="24">
        <v>1</v>
      </c>
      <c r="F14" s="24">
        <v>0</v>
      </c>
      <c r="G14" s="24">
        <v>0</v>
      </c>
      <c r="H14" s="24">
        <v>0</v>
      </c>
      <c r="I14" s="24">
        <v>1</v>
      </c>
      <c r="J14" s="24">
        <v>0</v>
      </c>
      <c r="L14" s="22" t="s">
        <v>45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1</v>
      </c>
      <c r="S14" s="24">
        <v>0</v>
      </c>
      <c r="T14" s="24">
        <v>0</v>
      </c>
      <c r="U14" s="24">
        <v>0</v>
      </c>
      <c r="V14" s="31"/>
      <c r="W14" s="22" t="s">
        <v>45</v>
      </c>
      <c r="X14" s="24">
        <f t="shared" si="12"/>
        <v>3</v>
      </c>
      <c r="Y14" s="24">
        <f t="shared" si="0"/>
        <v>5</v>
      </c>
      <c r="Z14" s="24">
        <f t="shared" si="0"/>
        <v>3</v>
      </c>
      <c r="AA14" s="24">
        <f t="shared" si="0"/>
        <v>1</v>
      </c>
      <c r="AB14" s="24">
        <f t="shared" si="0"/>
        <v>0</v>
      </c>
      <c r="AC14" s="24">
        <f t="shared" si="0"/>
        <v>1</v>
      </c>
      <c r="AD14" s="24">
        <f t="shared" si="0"/>
        <v>0</v>
      </c>
      <c r="AE14" s="24">
        <f t="shared" si="0"/>
        <v>1</v>
      </c>
      <c r="AF14" s="24">
        <f t="shared" si="0"/>
        <v>0</v>
      </c>
      <c r="AG14" s="31"/>
      <c r="AH14" s="31"/>
      <c r="AI14" s="31"/>
      <c r="AJ14" s="31"/>
      <c r="AK14" s="31"/>
      <c r="BB14" s="22" t="s">
        <v>45</v>
      </c>
      <c r="BC14" s="24">
        <f t="shared" si="1"/>
        <v>0</v>
      </c>
      <c r="BD14" s="24">
        <f t="shared" si="2"/>
        <v>2</v>
      </c>
      <c r="BE14" s="24">
        <f t="shared" si="3"/>
        <v>-1</v>
      </c>
      <c r="BF14" s="24">
        <f t="shared" si="4"/>
        <v>-1</v>
      </c>
      <c r="BG14" s="24">
        <f t="shared" si="5"/>
        <v>0</v>
      </c>
      <c r="BH14" s="24">
        <f t="shared" si="6"/>
        <v>0</v>
      </c>
      <c r="BI14" s="24">
        <f t="shared" si="7"/>
        <v>-1</v>
      </c>
      <c r="BJ14" s="24">
        <f t="shared" si="8"/>
        <v>1</v>
      </c>
      <c r="BK14" s="24">
        <f t="shared" si="9"/>
        <v>0</v>
      </c>
      <c r="BM14" s="22" t="s">
        <v>45</v>
      </c>
      <c r="BN14" s="24">
        <v>3</v>
      </c>
      <c r="BO14" s="24">
        <v>3</v>
      </c>
      <c r="BP14" s="24">
        <v>4</v>
      </c>
      <c r="BQ14" s="24">
        <v>2</v>
      </c>
      <c r="BR14" s="24">
        <v>0</v>
      </c>
      <c r="BS14" s="24">
        <v>0</v>
      </c>
      <c r="BT14" s="24">
        <v>1</v>
      </c>
      <c r="BU14" s="24">
        <v>0</v>
      </c>
      <c r="BV14" s="24"/>
      <c r="BW14" s="28">
        <f t="shared" si="13"/>
        <v>13</v>
      </c>
      <c r="BX14" s="28">
        <f t="shared" si="10"/>
        <v>13</v>
      </c>
      <c r="BY14" s="21" t="s">
        <v>63</v>
      </c>
      <c r="CA14" s="22" t="s">
        <v>45</v>
      </c>
      <c r="CB14" s="24"/>
      <c r="CC14" s="24"/>
      <c r="CD14" s="24"/>
      <c r="CE14" s="24"/>
      <c r="CF14" s="24"/>
      <c r="CG14" s="24"/>
      <c r="CH14" s="24"/>
      <c r="CI14" s="24"/>
      <c r="CJ14" s="24">
        <v>1</v>
      </c>
      <c r="CL14" s="22" t="s">
        <v>45</v>
      </c>
      <c r="CM14" s="24">
        <f t="shared" si="14"/>
        <v>0</v>
      </c>
      <c r="CN14" s="24">
        <f t="shared" si="15"/>
        <v>0</v>
      </c>
      <c r="CO14" s="24">
        <f t="shared" si="16"/>
        <v>0</v>
      </c>
      <c r="CP14" s="24">
        <f t="shared" si="17"/>
        <v>0</v>
      </c>
      <c r="CQ14" s="24">
        <f t="shared" si="18"/>
        <v>0</v>
      </c>
      <c r="CR14" s="24">
        <f t="shared" si="19"/>
        <v>-1</v>
      </c>
      <c r="CS14" s="24">
        <f t="shared" si="20"/>
        <v>0</v>
      </c>
      <c r="CT14" s="24">
        <f t="shared" si="21"/>
        <v>0</v>
      </c>
      <c r="CU14" s="24">
        <f t="shared" si="22"/>
        <v>1</v>
      </c>
    </row>
    <row r="15" spans="1:99" x14ac:dyDescent="0.2">
      <c r="A15" s="22" t="s">
        <v>46</v>
      </c>
      <c r="B15" s="24">
        <v>4</v>
      </c>
      <c r="C15" s="24">
        <v>4</v>
      </c>
      <c r="D15" s="24">
        <v>3</v>
      </c>
      <c r="E15" s="24">
        <v>0</v>
      </c>
      <c r="F15" s="24">
        <v>0</v>
      </c>
      <c r="G15" s="24">
        <v>1</v>
      </c>
      <c r="H15" s="24">
        <v>1</v>
      </c>
      <c r="I15" s="24">
        <v>1</v>
      </c>
      <c r="J15" s="24">
        <v>1</v>
      </c>
      <c r="L15" s="22" t="s">
        <v>46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1</v>
      </c>
      <c r="U15" s="24">
        <v>0</v>
      </c>
      <c r="V15" s="31"/>
      <c r="W15" s="22" t="s">
        <v>46</v>
      </c>
      <c r="X15" s="24">
        <f t="shared" si="12"/>
        <v>4</v>
      </c>
      <c r="Y15" s="24">
        <f t="shared" si="0"/>
        <v>4</v>
      </c>
      <c r="Z15" s="24">
        <f t="shared" si="0"/>
        <v>3</v>
      </c>
      <c r="AA15" s="24">
        <f t="shared" si="0"/>
        <v>0</v>
      </c>
      <c r="AB15" s="24">
        <f t="shared" si="0"/>
        <v>0</v>
      </c>
      <c r="AC15" s="24">
        <f t="shared" si="0"/>
        <v>1</v>
      </c>
      <c r="AD15" s="24">
        <f t="shared" si="0"/>
        <v>1</v>
      </c>
      <c r="AE15" s="24">
        <f t="shared" si="0"/>
        <v>2</v>
      </c>
      <c r="AF15" s="24">
        <f t="shared" si="0"/>
        <v>1</v>
      </c>
      <c r="AG15" s="31"/>
      <c r="AH15" s="31"/>
      <c r="AI15" s="31"/>
      <c r="AJ15" s="31"/>
      <c r="AK15" s="31"/>
      <c r="BB15" s="22" t="s">
        <v>46</v>
      </c>
      <c r="BC15" s="24">
        <f t="shared" si="1"/>
        <v>0</v>
      </c>
      <c r="BD15" s="24">
        <f t="shared" si="2"/>
        <v>2</v>
      </c>
      <c r="BE15" s="24">
        <f t="shared" si="3"/>
        <v>-2</v>
      </c>
      <c r="BF15" s="24">
        <f t="shared" si="4"/>
        <v>-1</v>
      </c>
      <c r="BG15" s="24">
        <f t="shared" si="5"/>
        <v>0</v>
      </c>
      <c r="BH15" s="24">
        <f t="shared" si="6"/>
        <v>1</v>
      </c>
      <c r="BI15" s="24">
        <f t="shared" si="7"/>
        <v>0</v>
      </c>
      <c r="BJ15" s="24">
        <f t="shared" si="8"/>
        <v>0</v>
      </c>
      <c r="BK15" s="24">
        <f t="shared" si="9"/>
        <v>0</v>
      </c>
      <c r="BM15" s="22" t="s">
        <v>46</v>
      </c>
      <c r="BN15" s="24">
        <v>4</v>
      </c>
      <c r="BO15" s="24">
        <v>2</v>
      </c>
      <c r="BP15" s="24">
        <v>5</v>
      </c>
      <c r="BQ15" s="24">
        <v>1</v>
      </c>
      <c r="BR15" s="24">
        <v>0</v>
      </c>
      <c r="BS15" s="24">
        <v>0</v>
      </c>
      <c r="BT15" s="24">
        <v>1</v>
      </c>
      <c r="BU15" s="24">
        <v>1</v>
      </c>
      <c r="BV15" s="24">
        <v>1</v>
      </c>
      <c r="BW15" s="28">
        <f t="shared" si="13"/>
        <v>15</v>
      </c>
      <c r="BX15" s="28">
        <f t="shared" si="10"/>
        <v>15</v>
      </c>
      <c r="BY15" s="21" t="s">
        <v>66</v>
      </c>
      <c r="CA15" s="22" t="s">
        <v>46</v>
      </c>
      <c r="CB15" s="24"/>
      <c r="CC15" s="24"/>
      <c r="CD15" s="24">
        <v>1</v>
      </c>
      <c r="CE15" s="24"/>
      <c r="CF15" s="24"/>
      <c r="CG15" s="24"/>
      <c r="CH15" s="24"/>
      <c r="CI15" s="24"/>
      <c r="CJ15" s="24"/>
      <c r="CL15" s="22" t="s">
        <v>46</v>
      </c>
      <c r="CM15" s="24">
        <f t="shared" si="14"/>
        <v>0</v>
      </c>
      <c r="CN15" s="24">
        <f t="shared" si="15"/>
        <v>0</v>
      </c>
      <c r="CO15" s="24">
        <f t="shared" si="16"/>
        <v>1</v>
      </c>
      <c r="CP15" s="24">
        <f t="shared" si="17"/>
        <v>0</v>
      </c>
      <c r="CQ15" s="24">
        <f t="shared" si="18"/>
        <v>0</v>
      </c>
      <c r="CR15" s="24">
        <f t="shared" si="19"/>
        <v>0</v>
      </c>
      <c r="CS15" s="24">
        <f t="shared" si="20"/>
        <v>0</v>
      </c>
      <c r="CT15" s="24">
        <f t="shared" si="21"/>
        <v>-1</v>
      </c>
      <c r="CU15" s="24">
        <f t="shared" si="22"/>
        <v>0</v>
      </c>
    </row>
    <row r="16" spans="1:99" x14ac:dyDescent="0.2">
      <c r="A16" s="22" t="s">
        <v>47</v>
      </c>
      <c r="B16" s="24">
        <v>2</v>
      </c>
      <c r="C16" s="24">
        <v>1</v>
      </c>
      <c r="D16" s="24">
        <v>0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L16" s="22" t="s">
        <v>47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1</v>
      </c>
      <c r="T16" s="24">
        <v>0</v>
      </c>
      <c r="U16" s="24">
        <v>0</v>
      </c>
      <c r="V16" s="31"/>
      <c r="W16" s="22" t="s">
        <v>47</v>
      </c>
      <c r="X16" s="24">
        <f t="shared" si="12"/>
        <v>2</v>
      </c>
      <c r="Y16" s="24">
        <f t="shared" si="0"/>
        <v>1</v>
      </c>
      <c r="Z16" s="24">
        <f t="shared" si="0"/>
        <v>0</v>
      </c>
      <c r="AA16" s="24">
        <f t="shared" si="0"/>
        <v>0</v>
      </c>
      <c r="AB16" s="24">
        <f t="shared" si="0"/>
        <v>0</v>
      </c>
      <c r="AC16" s="24">
        <f t="shared" si="0"/>
        <v>0</v>
      </c>
      <c r="AD16" s="24">
        <f t="shared" si="0"/>
        <v>1</v>
      </c>
      <c r="AE16" s="24">
        <f t="shared" si="0"/>
        <v>0</v>
      </c>
      <c r="AF16" s="24">
        <f t="shared" si="0"/>
        <v>0</v>
      </c>
      <c r="AG16" s="31"/>
      <c r="AH16" s="31"/>
      <c r="AI16" s="31"/>
      <c r="AJ16" s="31"/>
      <c r="AK16" s="31"/>
      <c r="BB16" s="22" t="s">
        <v>47</v>
      </c>
      <c r="BC16" s="24">
        <f t="shared" si="1"/>
        <v>1</v>
      </c>
      <c r="BD16" s="24">
        <f t="shared" si="2"/>
        <v>1</v>
      </c>
      <c r="BE16" s="24">
        <f t="shared" si="3"/>
        <v>-1</v>
      </c>
      <c r="BF16" s="24">
        <f t="shared" si="4"/>
        <v>0</v>
      </c>
      <c r="BG16" s="24">
        <f t="shared" si="5"/>
        <v>0</v>
      </c>
      <c r="BH16" s="24">
        <f t="shared" si="6"/>
        <v>0</v>
      </c>
      <c r="BI16" s="24">
        <f t="shared" si="7"/>
        <v>-1</v>
      </c>
      <c r="BJ16" s="24">
        <f t="shared" si="8"/>
        <v>0</v>
      </c>
      <c r="BK16" s="24">
        <f t="shared" si="9"/>
        <v>0</v>
      </c>
      <c r="BM16" s="22" t="s">
        <v>47</v>
      </c>
      <c r="BN16" s="24">
        <v>1</v>
      </c>
      <c r="BO16" s="24">
        <v>0</v>
      </c>
      <c r="BP16" s="24">
        <v>1</v>
      </c>
      <c r="BQ16" s="24">
        <v>0</v>
      </c>
      <c r="BR16" s="24">
        <v>0</v>
      </c>
      <c r="BS16" s="24">
        <v>0</v>
      </c>
      <c r="BT16" s="24">
        <v>1</v>
      </c>
      <c r="BU16" s="24">
        <v>0</v>
      </c>
      <c r="BV16" s="24"/>
      <c r="BW16" s="28">
        <f t="shared" si="13"/>
        <v>3</v>
      </c>
      <c r="BX16" s="28">
        <f t="shared" si="10"/>
        <v>3</v>
      </c>
      <c r="BY16" s="21" t="s">
        <v>63</v>
      </c>
      <c r="CA16" s="22" t="s">
        <v>47</v>
      </c>
      <c r="CB16" s="24"/>
      <c r="CC16" s="24"/>
      <c r="CD16" s="24"/>
      <c r="CE16" s="24"/>
      <c r="CF16" s="24"/>
      <c r="CG16" s="24"/>
      <c r="CH16" s="24"/>
      <c r="CI16" s="24"/>
      <c r="CJ16" s="24">
        <v>1</v>
      </c>
      <c r="CL16" s="22" t="s">
        <v>47</v>
      </c>
      <c r="CM16" s="24">
        <f t="shared" si="14"/>
        <v>0</v>
      </c>
      <c r="CN16" s="24">
        <f t="shared" si="15"/>
        <v>0</v>
      </c>
      <c r="CO16" s="24">
        <f t="shared" si="16"/>
        <v>0</v>
      </c>
      <c r="CP16" s="24">
        <f t="shared" si="17"/>
        <v>0</v>
      </c>
      <c r="CQ16" s="24">
        <f t="shared" si="18"/>
        <v>0</v>
      </c>
      <c r="CR16" s="24">
        <f t="shared" si="19"/>
        <v>0</v>
      </c>
      <c r="CS16" s="24">
        <f t="shared" si="20"/>
        <v>-1</v>
      </c>
      <c r="CT16" s="24">
        <f t="shared" si="21"/>
        <v>0</v>
      </c>
      <c r="CU16" s="24">
        <f t="shared" si="22"/>
        <v>1</v>
      </c>
    </row>
    <row r="17" spans="1:99" x14ac:dyDescent="0.2">
      <c r="A17" s="22" t="s">
        <v>48</v>
      </c>
      <c r="B17" s="24">
        <v>2</v>
      </c>
      <c r="C17" s="24">
        <v>4</v>
      </c>
      <c r="D17" s="24">
        <v>1</v>
      </c>
      <c r="E17" s="24">
        <v>0</v>
      </c>
      <c r="F17" s="24">
        <v>0</v>
      </c>
      <c r="G17" s="24">
        <v>0</v>
      </c>
      <c r="H17" s="24">
        <v>0</v>
      </c>
      <c r="I17" s="24">
        <v>0</v>
      </c>
      <c r="J17" s="24">
        <v>0</v>
      </c>
      <c r="L17" s="22" t="s">
        <v>48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1</v>
      </c>
      <c r="T17" s="24">
        <v>0</v>
      </c>
      <c r="U17" s="24">
        <v>0</v>
      </c>
      <c r="V17" s="31"/>
      <c r="W17" s="22" t="s">
        <v>48</v>
      </c>
      <c r="X17" s="24">
        <f t="shared" si="12"/>
        <v>2</v>
      </c>
      <c r="Y17" s="24">
        <f t="shared" si="0"/>
        <v>4</v>
      </c>
      <c r="Z17" s="24">
        <f t="shared" si="0"/>
        <v>1</v>
      </c>
      <c r="AA17" s="24">
        <f t="shared" si="0"/>
        <v>0</v>
      </c>
      <c r="AB17" s="24">
        <f t="shared" si="0"/>
        <v>0</v>
      </c>
      <c r="AC17" s="24">
        <f t="shared" si="0"/>
        <v>0</v>
      </c>
      <c r="AD17" s="24">
        <f t="shared" si="0"/>
        <v>1</v>
      </c>
      <c r="AE17" s="24">
        <f t="shared" si="0"/>
        <v>0</v>
      </c>
      <c r="AF17" s="24">
        <f t="shared" si="0"/>
        <v>0</v>
      </c>
      <c r="AG17" s="31"/>
      <c r="AH17" s="31"/>
      <c r="AI17" s="31"/>
      <c r="AJ17" s="31"/>
      <c r="AK17" s="31"/>
      <c r="BB17" s="22" t="s">
        <v>48</v>
      </c>
      <c r="BC17" s="24">
        <f t="shared" si="1"/>
        <v>0</v>
      </c>
      <c r="BD17" s="24">
        <f t="shared" si="2"/>
        <v>2</v>
      </c>
      <c r="BE17" s="24">
        <f t="shared" si="3"/>
        <v>-1</v>
      </c>
      <c r="BF17" s="24">
        <f t="shared" si="4"/>
        <v>-1</v>
      </c>
      <c r="BG17" s="24">
        <f t="shared" si="5"/>
        <v>0</v>
      </c>
      <c r="BH17" s="24">
        <f t="shared" si="6"/>
        <v>0</v>
      </c>
      <c r="BI17" s="24">
        <f t="shared" si="7"/>
        <v>-1</v>
      </c>
      <c r="BJ17" s="24">
        <f t="shared" si="8"/>
        <v>0</v>
      </c>
      <c r="BK17" s="24">
        <f t="shared" si="9"/>
        <v>0</v>
      </c>
      <c r="BM17" s="22" t="s">
        <v>48</v>
      </c>
      <c r="BN17" s="24">
        <v>2</v>
      </c>
      <c r="BO17" s="24">
        <v>2</v>
      </c>
      <c r="BP17" s="24">
        <v>2</v>
      </c>
      <c r="BQ17" s="24">
        <v>1</v>
      </c>
      <c r="BR17" s="24">
        <v>0</v>
      </c>
      <c r="BS17" s="24">
        <v>0</v>
      </c>
      <c r="BT17" s="24">
        <v>1</v>
      </c>
      <c r="BU17" s="24">
        <v>0</v>
      </c>
      <c r="BV17" s="24"/>
      <c r="BW17" s="28">
        <f t="shared" si="13"/>
        <v>8</v>
      </c>
      <c r="BX17" s="28">
        <f t="shared" si="10"/>
        <v>7</v>
      </c>
      <c r="BY17" s="21" t="s">
        <v>63</v>
      </c>
      <c r="CA17" s="22" t="s">
        <v>48</v>
      </c>
      <c r="CB17" s="24"/>
      <c r="CC17" s="24"/>
      <c r="CD17" s="24"/>
      <c r="CE17" s="24"/>
      <c r="CF17" s="24"/>
      <c r="CG17" s="24"/>
      <c r="CH17" s="24"/>
      <c r="CI17" s="24"/>
      <c r="CJ17" s="24">
        <v>1</v>
      </c>
      <c r="CL17" s="22" t="s">
        <v>48</v>
      </c>
      <c r="CM17" s="24">
        <f t="shared" si="14"/>
        <v>0</v>
      </c>
      <c r="CN17" s="24">
        <f t="shared" si="15"/>
        <v>0</v>
      </c>
      <c r="CO17" s="24">
        <f t="shared" si="16"/>
        <v>0</v>
      </c>
      <c r="CP17" s="24">
        <f t="shared" si="17"/>
        <v>0</v>
      </c>
      <c r="CQ17" s="24">
        <f t="shared" si="18"/>
        <v>0</v>
      </c>
      <c r="CR17" s="24">
        <f t="shared" si="19"/>
        <v>0</v>
      </c>
      <c r="CS17" s="24">
        <f t="shared" si="20"/>
        <v>-1</v>
      </c>
      <c r="CT17" s="24">
        <f t="shared" si="21"/>
        <v>0</v>
      </c>
      <c r="CU17" s="24">
        <f t="shared" si="22"/>
        <v>1</v>
      </c>
    </row>
    <row r="18" spans="1:99" x14ac:dyDescent="0.2">
      <c r="A18" s="22" t="s">
        <v>49</v>
      </c>
      <c r="B18" s="24">
        <v>3</v>
      </c>
      <c r="C18" s="24">
        <v>2</v>
      </c>
      <c r="D18" s="24">
        <v>1</v>
      </c>
      <c r="E18" s="24">
        <v>0</v>
      </c>
      <c r="F18" s="24">
        <v>0</v>
      </c>
      <c r="G18" s="24">
        <v>1</v>
      </c>
      <c r="H18" s="24">
        <v>1</v>
      </c>
      <c r="I18" s="24">
        <v>1</v>
      </c>
      <c r="J18" s="24">
        <v>0</v>
      </c>
      <c r="L18" s="22" t="s">
        <v>49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1</v>
      </c>
      <c r="V18" s="31"/>
      <c r="W18" s="22" t="s">
        <v>49</v>
      </c>
      <c r="X18" s="24">
        <f t="shared" si="12"/>
        <v>3</v>
      </c>
      <c r="Y18" s="24">
        <f t="shared" si="0"/>
        <v>2</v>
      </c>
      <c r="Z18" s="24">
        <f t="shared" si="0"/>
        <v>1</v>
      </c>
      <c r="AA18" s="24">
        <f t="shared" si="0"/>
        <v>0</v>
      </c>
      <c r="AB18" s="24">
        <f t="shared" si="0"/>
        <v>0</v>
      </c>
      <c r="AC18" s="24">
        <f t="shared" si="0"/>
        <v>1</v>
      </c>
      <c r="AD18" s="24">
        <f t="shared" si="0"/>
        <v>1</v>
      </c>
      <c r="AE18" s="24">
        <f t="shared" si="0"/>
        <v>1</v>
      </c>
      <c r="AF18" s="24">
        <f t="shared" si="0"/>
        <v>1</v>
      </c>
      <c r="AG18" s="31"/>
      <c r="AH18" s="31"/>
      <c r="AI18" s="31"/>
      <c r="AJ18" s="31"/>
      <c r="AK18" s="31"/>
      <c r="BB18" s="22" t="s">
        <v>49</v>
      </c>
      <c r="BC18" s="24">
        <f t="shared" si="1"/>
        <v>-1</v>
      </c>
      <c r="BD18" s="24">
        <f t="shared" si="2"/>
        <v>0</v>
      </c>
      <c r="BE18" s="24">
        <f t="shared" si="3"/>
        <v>-1</v>
      </c>
      <c r="BF18" s="24">
        <f t="shared" si="4"/>
        <v>0</v>
      </c>
      <c r="BG18" s="24">
        <f t="shared" si="5"/>
        <v>0</v>
      </c>
      <c r="BH18" s="24">
        <f t="shared" si="6"/>
        <v>1</v>
      </c>
      <c r="BI18" s="24">
        <f t="shared" si="7"/>
        <v>0</v>
      </c>
      <c r="BJ18" s="24">
        <f t="shared" si="8"/>
        <v>1</v>
      </c>
      <c r="BK18" s="24">
        <f t="shared" si="9"/>
        <v>0</v>
      </c>
      <c r="BM18" s="22" t="s">
        <v>49</v>
      </c>
      <c r="BN18" s="24">
        <v>4</v>
      </c>
      <c r="BO18" s="24">
        <v>2</v>
      </c>
      <c r="BP18" s="24">
        <v>2</v>
      </c>
      <c r="BQ18" s="24">
        <v>0</v>
      </c>
      <c r="BR18" s="24">
        <v>0</v>
      </c>
      <c r="BS18" s="24">
        <v>0</v>
      </c>
      <c r="BT18" s="24">
        <v>1</v>
      </c>
      <c r="BU18" s="24"/>
      <c r="BV18" s="24">
        <v>0</v>
      </c>
      <c r="BW18" s="28">
        <f t="shared" si="13"/>
        <v>9</v>
      </c>
      <c r="BX18" s="28">
        <f t="shared" si="10"/>
        <v>9</v>
      </c>
      <c r="BY18" s="21" t="s">
        <v>62</v>
      </c>
      <c r="CA18" s="22" t="s">
        <v>49</v>
      </c>
      <c r="CB18" s="24"/>
      <c r="CC18" s="24"/>
      <c r="CD18" s="24"/>
      <c r="CE18" s="24"/>
      <c r="CF18" s="24"/>
      <c r="CG18" s="24"/>
      <c r="CH18" s="24"/>
      <c r="CI18" s="24">
        <v>1</v>
      </c>
      <c r="CJ18" s="24"/>
      <c r="CL18" s="22" t="s">
        <v>49</v>
      </c>
      <c r="CM18" s="24">
        <f t="shared" si="14"/>
        <v>0</v>
      </c>
      <c r="CN18" s="24">
        <f t="shared" si="15"/>
        <v>0</v>
      </c>
      <c r="CO18" s="24">
        <f t="shared" si="16"/>
        <v>0</v>
      </c>
      <c r="CP18" s="24">
        <f t="shared" si="17"/>
        <v>0</v>
      </c>
      <c r="CQ18" s="24">
        <f t="shared" si="18"/>
        <v>0</v>
      </c>
      <c r="CR18" s="24">
        <f t="shared" si="19"/>
        <v>0</v>
      </c>
      <c r="CS18" s="24">
        <f t="shared" si="20"/>
        <v>0</v>
      </c>
      <c r="CT18" s="24">
        <f t="shared" si="21"/>
        <v>1</v>
      </c>
      <c r="CU18" s="24">
        <f t="shared" si="22"/>
        <v>-1</v>
      </c>
    </row>
    <row r="19" spans="1:99" x14ac:dyDescent="0.2">
      <c r="A19" s="22" t="s">
        <v>50</v>
      </c>
      <c r="B19" s="24">
        <v>2</v>
      </c>
      <c r="C19" s="24">
        <v>1</v>
      </c>
      <c r="D19" s="24">
        <v>0</v>
      </c>
      <c r="E19" s="24">
        <v>0</v>
      </c>
      <c r="F19" s="24">
        <v>0</v>
      </c>
      <c r="G19" s="24">
        <v>0</v>
      </c>
      <c r="H19" s="24">
        <v>1</v>
      </c>
      <c r="I19" s="24">
        <v>0</v>
      </c>
      <c r="J19" s="24">
        <v>0</v>
      </c>
      <c r="L19" s="22" t="s">
        <v>50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1</v>
      </c>
      <c r="S19" s="24">
        <v>0</v>
      </c>
      <c r="T19" s="24">
        <v>0</v>
      </c>
      <c r="U19" s="24">
        <v>0</v>
      </c>
      <c r="V19" s="31"/>
      <c r="W19" s="22" t="s">
        <v>50</v>
      </c>
      <c r="X19" s="24">
        <f t="shared" si="12"/>
        <v>2</v>
      </c>
      <c r="Y19" s="24">
        <f t="shared" si="0"/>
        <v>1</v>
      </c>
      <c r="Z19" s="24">
        <f t="shared" si="0"/>
        <v>0</v>
      </c>
      <c r="AA19" s="24">
        <f t="shared" si="0"/>
        <v>0</v>
      </c>
      <c r="AB19" s="24">
        <f t="shared" si="0"/>
        <v>0</v>
      </c>
      <c r="AC19" s="24">
        <f t="shared" si="0"/>
        <v>1</v>
      </c>
      <c r="AD19" s="24">
        <f t="shared" si="0"/>
        <v>1</v>
      </c>
      <c r="AE19" s="24">
        <f t="shared" si="0"/>
        <v>0</v>
      </c>
      <c r="AF19" s="24">
        <f t="shared" si="0"/>
        <v>0</v>
      </c>
      <c r="AG19" s="31"/>
      <c r="AH19" s="31"/>
      <c r="AI19" s="31"/>
      <c r="AJ19" s="31"/>
      <c r="AK19" s="31"/>
      <c r="BB19" s="22" t="s">
        <v>50</v>
      </c>
      <c r="BC19" s="24">
        <f t="shared" si="1"/>
        <v>0</v>
      </c>
      <c r="BD19" s="24">
        <f t="shared" si="2"/>
        <v>1</v>
      </c>
      <c r="BE19" s="24">
        <f t="shared" si="3"/>
        <v>-1</v>
      </c>
      <c r="BF19" s="24">
        <f t="shared" si="4"/>
        <v>0</v>
      </c>
      <c r="BG19" s="24">
        <f t="shared" si="5"/>
        <v>0</v>
      </c>
      <c r="BH19" s="24">
        <f t="shared" si="6"/>
        <v>0</v>
      </c>
      <c r="BI19" s="24">
        <f t="shared" si="7"/>
        <v>0</v>
      </c>
      <c r="BJ19" s="24">
        <f t="shared" si="8"/>
        <v>0</v>
      </c>
      <c r="BK19" s="24">
        <f t="shared" si="9"/>
        <v>0</v>
      </c>
      <c r="BM19" s="22" t="s">
        <v>50</v>
      </c>
      <c r="BN19" s="24">
        <v>2</v>
      </c>
      <c r="BO19" s="24">
        <v>0</v>
      </c>
      <c r="BP19" s="24">
        <v>1</v>
      </c>
      <c r="BQ19" s="24">
        <v>0</v>
      </c>
      <c r="BR19" s="24">
        <v>0</v>
      </c>
      <c r="BS19" s="24">
        <v>0</v>
      </c>
      <c r="BT19" s="24">
        <v>1</v>
      </c>
      <c r="BU19" s="24">
        <v>0</v>
      </c>
      <c r="BV19" s="24"/>
      <c r="BW19" s="28">
        <f t="shared" si="13"/>
        <v>4</v>
      </c>
      <c r="BX19" s="28">
        <f t="shared" si="10"/>
        <v>4</v>
      </c>
      <c r="BY19" s="21" t="s">
        <v>63</v>
      </c>
      <c r="CA19" s="22" t="s">
        <v>50</v>
      </c>
      <c r="CB19" s="24"/>
      <c r="CC19" s="24"/>
      <c r="CD19" s="24"/>
      <c r="CE19" s="24"/>
      <c r="CF19" s="24"/>
      <c r="CG19" s="24"/>
      <c r="CH19" s="24"/>
      <c r="CI19" s="24"/>
      <c r="CJ19" s="24">
        <v>1</v>
      </c>
      <c r="CL19" s="22" t="s">
        <v>50</v>
      </c>
      <c r="CM19" s="24">
        <f t="shared" si="14"/>
        <v>0</v>
      </c>
      <c r="CN19" s="24">
        <f t="shared" si="15"/>
        <v>0</v>
      </c>
      <c r="CO19" s="24">
        <f t="shared" si="16"/>
        <v>0</v>
      </c>
      <c r="CP19" s="24">
        <f t="shared" si="17"/>
        <v>0</v>
      </c>
      <c r="CQ19" s="24">
        <f t="shared" si="18"/>
        <v>0</v>
      </c>
      <c r="CR19" s="24">
        <f t="shared" si="19"/>
        <v>-1</v>
      </c>
      <c r="CS19" s="24">
        <f t="shared" si="20"/>
        <v>0</v>
      </c>
      <c r="CT19" s="24">
        <f t="shared" si="21"/>
        <v>0</v>
      </c>
      <c r="CU19" s="24">
        <f t="shared" si="22"/>
        <v>1</v>
      </c>
    </row>
    <row r="20" spans="1:99" x14ac:dyDescent="0.2">
      <c r="A20" s="22" t="s">
        <v>51</v>
      </c>
      <c r="B20" s="24">
        <v>3</v>
      </c>
      <c r="C20" s="24">
        <v>2</v>
      </c>
      <c r="D20" s="24">
        <v>1</v>
      </c>
      <c r="E20" s="24">
        <v>0</v>
      </c>
      <c r="F20" s="24">
        <v>0</v>
      </c>
      <c r="G20" s="24">
        <v>0</v>
      </c>
      <c r="H20" s="24">
        <v>1</v>
      </c>
      <c r="I20" s="24">
        <v>1</v>
      </c>
      <c r="J20" s="24">
        <v>0</v>
      </c>
      <c r="L20" s="22" t="s">
        <v>51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1</v>
      </c>
      <c r="S20" s="24">
        <v>0</v>
      </c>
      <c r="T20" s="24">
        <v>0</v>
      </c>
      <c r="U20" s="24">
        <v>0</v>
      </c>
      <c r="V20" s="31"/>
      <c r="W20" s="22" t="s">
        <v>51</v>
      </c>
      <c r="X20" s="24">
        <f t="shared" si="12"/>
        <v>3</v>
      </c>
      <c r="Y20" s="24">
        <f t="shared" ref="Y20:Y22" si="23">C20+N20</f>
        <v>2</v>
      </c>
      <c r="Z20" s="24">
        <f t="shared" ref="Z20:Z22" si="24">D20+O20</f>
        <v>1</v>
      </c>
      <c r="AA20" s="24">
        <f t="shared" ref="AA20:AA22" si="25">E20+P20</f>
        <v>0</v>
      </c>
      <c r="AB20" s="24">
        <f t="shared" ref="AB20:AB22" si="26">F20+Q20</f>
        <v>0</v>
      </c>
      <c r="AC20" s="24">
        <f t="shared" ref="AC20:AC22" si="27">G20+R20</f>
        <v>1</v>
      </c>
      <c r="AD20" s="24">
        <f t="shared" ref="AD20:AD22" si="28">H20+S20</f>
        <v>1</v>
      </c>
      <c r="AE20" s="24">
        <f t="shared" ref="AE20:AE22" si="29">I20+T20</f>
        <v>1</v>
      </c>
      <c r="AF20" s="24">
        <f t="shared" ref="AF20:AF22" si="30">J20+U20</f>
        <v>0</v>
      </c>
      <c r="AG20" s="31"/>
      <c r="AH20" s="31"/>
      <c r="AI20" s="31"/>
      <c r="AJ20" s="31"/>
      <c r="AK20" s="31"/>
      <c r="BB20" s="22" t="s">
        <v>51</v>
      </c>
      <c r="BC20" s="24">
        <f t="shared" si="1"/>
        <v>-1</v>
      </c>
      <c r="BD20" s="24">
        <f t="shared" si="2"/>
        <v>0</v>
      </c>
      <c r="BE20" s="24">
        <f t="shared" si="3"/>
        <v>-1</v>
      </c>
      <c r="BF20" s="24">
        <f t="shared" si="4"/>
        <v>0</v>
      </c>
      <c r="BG20" s="24">
        <f t="shared" si="5"/>
        <v>0</v>
      </c>
      <c r="BH20" s="24">
        <f t="shared" si="6"/>
        <v>0</v>
      </c>
      <c r="BI20" s="24">
        <f t="shared" si="7"/>
        <v>1</v>
      </c>
      <c r="BJ20" s="24">
        <f t="shared" si="8"/>
        <v>1</v>
      </c>
      <c r="BK20" s="24">
        <f t="shared" si="9"/>
        <v>0</v>
      </c>
      <c r="BM20" s="22" t="s">
        <v>51</v>
      </c>
      <c r="BN20" s="24">
        <v>4</v>
      </c>
      <c r="BO20" s="24">
        <v>2</v>
      </c>
      <c r="BP20" s="24">
        <v>2</v>
      </c>
      <c r="BQ20" s="24">
        <v>0</v>
      </c>
      <c r="BR20" s="24">
        <v>0</v>
      </c>
      <c r="BS20" s="24">
        <v>0</v>
      </c>
      <c r="BT20" s="24"/>
      <c r="BU20" s="24">
        <v>0</v>
      </c>
      <c r="BV20" s="24">
        <v>0</v>
      </c>
      <c r="BW20" s="28">
        <f t="shared" si="13"/>
        <v>8</v>
      </c>
      <c r="BX20" s="28">
        <f t="shared" si="10"/>
        <v>8</v>
      </c>
      <c r="BY20" s="21" t="s">
        <v>64</v>
      </c>
      <c r="CA20" s="22" t="s">
        <v>51</v>
      </c>
      <c r="CB20" s="24"/>
      <c r="CC20" s="24"/>
      <c r="CD20" s="24"/>
      <c r="CE20" s="24"/>
      <c r="CF20" s="24"/>
      <c r="CG20" s="24"/>
      <c r="CH20" s="24">
        <v>1</v>
      </c>
      <c r="CI20" s="24"/>
      <c r="CJ20" s="24"/>
      <c r="CL20" s="22" t="s">
        <v>51</v>
      </c>
      <c r="CM20" s="24">
        <f t="shared" si="14"/>
        <v>0</v>
      </c>
      <c r="CN20" s="24">
        <f t="shared" ref="CN20:CN22" si="31">CC20-N20</f>
        <v>0</v>
      </c>
      <c r="CO20" s="24">
        <f t="shared" ref="CO20:CO22" si="32">CD20-O20</f>
        <v>0</v>
      </c>
      <c r="CP20" s="24">
        <f t="shared" ref="CP20:CP22" si="33">CE20-P20</f>
        <v>0</v>
      </c>
      <c r="CQ20" s="24">
        <f t="shared" ref="CQ20:CQ22" si="34">CF20-Q20</f>
        <v>0</v>
      </c>
      <c r="CR20" s="24">
        <f t="shared" ref="CR20:CR22" si="35">CG20-R20</f>
        <v>-1</v>
      </c>
      <c r="CS20" s="24">
        <f t="shared" ref="CS20:CS22" si="36">CH20-S20</f>
        <v>1</v>
      </c>
      <c r="CT20" s="24">
        <f t="shared" ref="CT20:CT22" si="37">CI20-T20</f>
        <v>0</v>
      </c>
      <c r="CU20" s="24">
        <f t="shared" ref="CU20:CU22" si="38">CJ20-U20</f>
        <v>0</v>
      </c>
    </row>
    <row r="21" spans="1:99" x14ac:dyDescent="0.2">
      <c r="A21" s="22" t="s">
        <v>52</v>
      </c>
      <c r="B21" s="24">
        <v>2</v>
      </c>
      <c r="C21" s="24">
        <v>2</v>
      </c>
      <c r="D21" s="24">
        <v>0</v>
      </c>
      <c r="E21" s="24">
        <v>0</v>
      </c>
      <c r="F21" s="24">
        <v>0</v>
      </c>
      <c r="G21" s="24">
        <v>0</v>
      </c>
      <c r="H21" s="24">
        <v>0</v>
      </c>
      <c r="I21" s="24">
        <v>1</v>
      </c>
      <c r="J21" s="24">
        <v>0</v>
      </c>
      <c r="L21" s="22" t="s">
        <v>52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1</v>
      </c>
      <c r="T21" s="24">
        <v>0</v>
      </c>
      <c r="U21" s="24">
        <v>0</v>
      </c>
      <c r="V21" s="31"/>
      <c r="W21" s="22" t="s">
        <v>52</v>
      </c>
      <c r="X21" s="24">
        <f t="shared" si="12"/>
        <v>2</v>
      </c>
      <c r="Y21" s="24">
        <f t="shared" si="23"/>
        <v>2</v>
      </c>
      <c r="Z21" s="24">
        <f t="shared" si="24"/>
        <v>0</v>
      </c>
      <c r="AA21" s="24">
        <f t="shared" si="25"/>
        <v>0</v>
      </c>
      <c r="AB21" s="24">
        <f t="shared" si="26"/>
        <v>0</v>
      </c>
      <c r="AC21" s="24">
        <f t="shared" si="27"/>
        <v>0</v>
      </c>
      <c r="AD21" s="24">
        <f t="shared" si="28"/>
        <v>1</v>
      </c>
      <c r="AE21" s="24">
        <f t="shared" si="29"/>
        <v>1</v>
      </c>
      <c r="AF21" s="24">
        <f t="shared" si="30"/>
        <v>0</v>
      </c>
      <c r="AG21" s="31"/>
      <c r="AH21" s="31"/>
      <c r="AI21" s="31"/>
      <c r="AJ21" s="31"/>
      <c r="AK21" s="31"/>
      <c r="BB21" s="22" t="s">
        <v>52</v>
      </c>
      <c r="BC21" s="24">
        <f t="shared" si="1"/>
        <v>0</v>
      </c>
      <c r="BD21" s="24">
        <f t="shared" si="2"/>
        <v>1</v>
      </c>
      <c r="BE21" s="24">
        <f t="shared" si="3"/>
        <v>-2</v>
      </c>
      <c r="BF21" s="24">
        <f t="shared" si="4"/>
        <v>0</v>
      </c>
      <c r="BG21" s="24">
        <f t="shared" si="5"/>
        <v>0</v>
      </c>
      <c r="BH21" s="24">
        <f t="shared" si="6"/>
        <v>0</v>
      </c>
      <c r="BI21" s="24">
        <f t="shared" si="7"/>
        <v>0</v>
      </c>
      <c r="BJ21" s="24">
        <f t="shared" si="8"/>
        <v>1</v>
      </c>
      <c r="BK21" s="24">
        <f t="shared" si="9"/>
        <v>0</v>
      </c>
      <c r="BM21" s="22" t="s">
        <v>52</v>
      </c>
      <c r="BN21" s="24">
        <v>2</v>
      </c>
      <c r="BO21" s="24">
        <v>1</v>
      </c>
      <c r="BP21" s="24">
        <v>2</v>
      </c>
      <c r="BQ21" s="24">
        <v>0</v>
      </c>
      <c r="BR21" s="24">
        <v>0</v>
      </c>
      <c r="BS21" s="24">
        <v>0</v>
      </c>
      <c r="BT21" s="24">
        <v>0</v>
      </c>
      <c r="BU21" s="24"/>
      <c r="BV21" s="24">
        <v>0</v>
      </c>
      <c r="BW21" s="28">
        <f t="shared" si="13"/>
        <v>5</v>
      </c>
      <c r="BX21" s="28">
        <f t="shared" si="10"/>
        <v>5</v>
      </c>
      <c r="BY21" s="21" t="s">
        <v>62</v>
      </c>
      <c r="CA21" s="22" t="s">
        <v>52</v>
      </c>
      <c r="CB21" s="24"/>
      <c r="CC21" s="24"/>
      <c r="CD21" s="24"/>
      <c r="CE21" s="24"/>
      <c r="CF21" s="24"/>
      <c r="CG21" s="24"/>
      <c r="CH21" s="24"/>
      <c r="CI21" s="24">
        <v>1</v>
      </c>
      <c r="CJ21" s="24"/>
      <c r="CL21" s="22" t="s">
        <v>52</v>
      </c>
      <c r="CM21" s="24">
        <f t="shared" si="14"/>
        <v>0</v>
      </c>
      <c r="CN21" s="24">
        <f t="shared" si="31"/>
        <v>0</v>
      </c>
      <c r="CO21" s="24">
        <f t="shared" si="32"/>
        <v>0</v>
      </c>
      <c r="CP21" s="24">
        <f t="shared" si="33"/>
        <v>0</v>
      </c>
      <c r="CQ21" s="24">
        <f t="shared" si="34"/>
        <v>0</v>
      </c>
      <c r="CR21" s="24">
        <f t="shared" si="35"/>
        <v>0</v>
      </c>
      <c r="CS21" s="24">
        <f t="shared" si="36"/>
        <v>-1</v>
      </c>
      <c r="CT21" s="24">
        <f t="shared" si="37"/>
        <v>1</v>
      </c>
      <c r="CU21" s="24">
        <f t="shared" si="38"/>
        <v>0</v>
      </c>
    </row>
    <row r="22" spans="1:99" x14ac:dyDescent="0.2">
      <c r="A22" s="22" t="s">
        <v>53</v>
      </c>
      <c r="B22" s="24">
        <v>2</v>
      </c>
      <c r="C22" s="24">
        <v>2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L22" s="22" t="s">
        <v>53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1</v>
      </c>
      <c r="S22" s="24">
        <v>0</v>
      </c>
      <c r="T22" s="24">
        <v>0</v>
      </c>
      <c r="U22" s="24">
        <v>0</v>
      </c>
      <c r="V22" s="31"/>
      <c r="W22" s="22" t="s">
        <v>53</v>
      </c>
      <c r="X22" s="24">
        <f t="shared" si="12"/>
        <v>2</v>
      </c>
      <c r="Y22" s="24">
        <f t="shared" si="23"/>
        <v>2</v>
      </c>
      <c r="Z22" s="24">
        <f t="shared" si="24"/>
        <v>0</v>
      </c>
      <c r="AA22" s="24">
        <f t="shared" si="25"/>
        <v>0</v>
      </c>
      <c r="AB22" s="24">
        <f t="shared" si="26"/>
        <v>0</v>
      </c>
      <c r="AC22" s="24">
        <f t="shared" si="27"/>
        <v>1</v>
      </c>
      <c r="AD22" s="24">
        <f t="shared" si="28"/>
        <v>0</v>
      </c>
      <c r="AE22" s="24">
        <f t="shared" si="29"/>
        <v>0</v>
      </c>
      <c r="AF22" s="24">
        <f t="shared" si="30"/>
        <v>0</v>
      </c>
      <c r="AG22" s="31"/>
      <c r="AH22" s="31"/>
      <c r="AI22" s="31"/>
      <c r="AJ22" s="31"/>
      <c r="AK22" s="31"/>
      <c r="BB22" s="22" t="s">
        <v>53</v>
      </c>
      <c r="BC22" s="24">
        <f t="shared" si="1"/>
        <v>0</v>
      </c>
      <c r="BD22" s="24">
        <f t="shared" si="2"/>
        <v>1</v>
      </c>
      <c r="BE22" s="24">
        <f t="shared" si="3"/>
        <v>-1</v>
      </c>
      <c r="BF22" s="24">
        <f t="shared" si="4"/>
        <v>0</v>
      </c>
      <c r="BG22" s="24">
        <f t="shared" si="5"/>
        <v>0</v>
      </c>
      <c r="BH22" s="24">
        <f t="shared" si="6"/>
        <v>0</v>
      </c>
      <c r="BI22" s="24">
        <f t="shared" si="7"/>
        <v>0</v>
      </c>
      <c r="BJ22" s="24">
        <f t="shared" si="8"/>
        <v>0</v>
      </c>
      <c r="BK22" s="24">
        <f t="shared" si="9"/>
        <v>0</v>
      </c>
      <c r="BM22" s="22" t="s">
        <v>53</v>
      </c>
      <c r="BN22" s="24">
        <v>2</v>
      </c>
      <c r="BO22" s="24">
        <v>1</v>
      </c>
      <c r="BP22" s="24">
        <v>1</v>
      </c>
      <c r="BQ22" s="24">
        <v>0</v>
      </c>
      <c r="BR22" s="24">
        <v>0</v>
      </c>
      <c r="BS22" s="24">
        <v>0</v>
      </c>
      <c r="BT22" s="24">
        <v>0</v>
      </c>
      <c r="BU22" s="24"/>
      <c r="BV22" s="24">
        <v>0</v>
      </c>
      <c r="BW22" s="28">
        <f t="shared" si="13"/>
        <v>4</v>
      </c>
      <c r="BX22" s="28">
        <f t="shared" si="10"/>
        <v>4</v>
      </c>
      <c r="BY22" s="21" t="s">
        <v>62</v>
      </c>
      <c r="CA22" s="22" t="s">
        <v>53</v>
      </c>
      <c r="CB22" s="24"/>
      <c r="CC22" s="24"/>
      <c r="CD22" s="24"/>
      <c r="CE22" s="24"/>
      <c r="CF22" s="24"/>
      <c r="CG22" s="24"/>
      <c r="CH22" s="24"/>
      <c r="CI22" s="24">
        <v>1</v>
      </c>
      <c r="CJ22" s="24"/>
      <c r="CL22" s="22" t="s">
        <v>53</v>
      </c>
      <c r="CM22" s="24">
        <f t="shared" si="14"/>
        <v>0</v>
      </c>
      <c r="CN22" s="24">
        <f t="shared" si="31"/>
        <v>0</v>
      </c>
      <c r="CO22" s="24">
        <f t="shared" si="32"/>
        <v>0</v>
      </c>
      <c r="CP22" s="24">
        <f t="shared" si="33"/>
        <v>0</v>
      </c>
      <c r="CQ22" s="24">
        <f t="shared" si="34"/>
        <v>0</v>
      </c>
      <c r="CR22" s="24">
        <f t="shared" si="35"/>
        <v>-1</v>
      </c>
      <c r="CS22" s="24">
        <f t="shared" si="36"/>
        <v>0</v>
      </c>
      <c r="CT22" s="24">
        <f t="shared" si="37"/>
        <v>1</v>
      </c>
      <c r="CU22" s="24">
        <f t="shared" si="38"/>
        <v>0</v>
      </c>
    </row>
    <row r="23" spans="1:99" ht="16" thickBot="1" x14ac:dyDescent="0.25">
      <c r="A23" s="19"/>
      <c r="B23" s="25">
        <f t="shared" ref="B23:J23" si="39">SUM(B4:B22)</f>
        <v>51</v>
      </c>
      <c r="C23" s="25">
        <f t="shared" si="39"/>
        <v>43</v>
      </c>
      <c r="D23" s="25">
        <f t="shared" si="39"/>
        <v>27</v>
      </c>
      <c r="E23" s="25">
        <f t="shared" si="39"/>
        <v>2</v>
      </c>
      <c r="F23" s="25">
        <f t="shared" si="39"/>
        <v>2</v>
      </c>
      <c r="G23" s="25">
        <f t="shared" si="39"/>
        <v>5</v>
      </c>
      <c r="H23" s="25">
        <f t="shared" si="39"/>
        <v>7</v>
      </c>
      <c r="I23" s="25">
        <f t="shared" si="39"/>
        <v>9</v>
      </c>
      <c r="J23" s="25">
        <f t="shared" si="39"/>
        <v>4</v>
      </c>
      <c r="K23" s="23">
        <f>SUM(B23:J23)</f>
        <v>150</v>
      </c>
      <c r="L23" s="19"/>
      <c r="M23" s="25">
        <f t="shared" ref="M23:U23" si="40">SUM(M4:M22)</f>
        <v>0</v>
      </c>
      <c r="N23" s="25">
        <f t="shared" si="40"/>
        <v>0</v>
      </c>
      <c r="O23" s="25">
        <f t="shared" si="40"/>
        <v>1</v>
      </c>
      <c r="P23" s="25">
        <f t="shared" si="40"/>
        <v>0</v>
      </c>
      <c r="Q23" s="25">
        <f t="shared" si="40"/>
        <v>0</v>
      </c>
      <c r="R23" s="25">
        <f>SUM(R4:R22)</f>
        <v>6</v>
      </c>
      <c r="S23" s="25">
        <f t="shared" si="40"/>
        <v>4</v>
      </c>
      <c r="T23" s="25">
        <f t="shared" si="40"/>
        <v>6</v>
      </c>
      <c r="U23" s="25">
        <f t="shared" si="40"/>
        <v>2</v>
      </c>
      <c r="V23" s="32"/>
      <c r="W23" s="19"/>
      <c r="X23" s="25">
        <f t="shared" ref="X23:AF23" si="41">SUM(X4:X22)</f>
        <v>51</v>
      </c>
      <c r="Y23" s="25">
        <f t="shared" si="41"/>
        <v>43</v>
      </c>
      <c r="Z23" s="25">
        <f t="shared" si="41"/>
        <v>28</v>
      </c>
      <c r="AA23" s="25">
        <f t="shared" si="41"/>
        <v>2</v>
      </c>
      <c r="AB23" s="25">
        <f t="shared" si="41"/>
        <v>2</v>
      </c>
      <c r="AC23" s="25">
        <f t="shared" si="41"/>
        <v>11</v>
      </c>
      <c r="AD23" s="25">
        <f t="shared" si="41"/>
        <v>11</v>
      </c>
      <c r="AE23" s="25">
        <f t="shared" si="41"/>
        <v>15</v>
      </c>
      <c r="AF23" s="25">
        <f t="shared" si="41"/>
        <v>6</v>
      </c>
      <c r="AG23" s="32"/>
      <c r="AH23" s="32"/>
      <c r="AI23" s="32"/>
      <c r="AJ23" s="32"/>
      <c r="AK23" s="32"/>
      <c r="AL23" s="23"/>
      <c r="AM23" s="23"/>
    </row>
    <row r="24" spans="1:99" ht="16" thickTop="1" x14ac:dyDescent="0.2">
      <c r="X24" s="21">
        <v>55</v>
      </c>
      <c r="Y24" s="21">
        <v>29</v>
      </c>
      <c r="Z24" s="21">
        <v>48</v>
      </c>
      <c r="AA24" s="21">
        <v>10</v>
      </c>
      <c r="AB24" s="21">
        <v>1</v>
      </c>
      <c r="AC24" s="21">
        <v>0</v>
      </c>
      <c r="AD24" s="21">
        <v>10</v>
      </c>
      <c r="AE24" s="21">
        <v>7</v>
      </c>
      <c r="AF24" s="21">
        <v>9</v>
      </c>
    </row>
    <row r="25" spans="1:99" x14ac:dyDescent="0.2">
      <c r="X25" s="21">
        <v>51</v>
      </c>
      <c r="Y25" s="21">
        <v>41</v>
      </c>
      <c r="Z25" s="21">
        <v>28</v>
      </c>
      <c r="AA25" s="21">
        <v>1</v>
      </c>
      <c r="AB25" s="21">
        <v>2</v>
      </c>
      <c r="AC25" s="21">
        <v>11</v>
      </c>
      <c r="AD25" s="21">
        <v>11</v>
      </c>
      <c r="AE25" s="21">
        <v>15</v>
      </c>
      <c r="AF25" s="21">
        <v>9</v>
      </c>
    </row>
    <row r="29" spans="1:99" x14ac:dyDescent="0.2">
      <c r="B29" s="21"/>
      <c r="C29" s="21"/>
      <c r="D29" s="21"/>
      <c r="E29" s="21"/>
      <c r="F29" s="21"/>
      <c r="G29" s="21"/>
      <c r="H29" s="21"/>
      <c r="I29" s="21"/>
      <c r="J29" s="21"/>
    </row>
    <row r="30" spans="1:99" x14ac:dyDescent="0.2">
      <c r="B30" s="21"/>
      <c r="C30" s="21"/>
      <c r="D30" s="21"/>
      <c r="E30" s="21"/>
      <c r="F30" s="21"/>
      <c r="G30" s="21"/>
      <c r="H30" s="21"/>
      <c r="I30" s="21"/>
      <c r="J30" s="21"/>
      <c r="BN30" s="24">
        <v>3</v>
      </c>
      <c r="BO30" s="24">
        <v>2</v>
      </c>
      <c r="BP30" s="24">
        <v>3</v>
      </c>
      <c r="BQ30" s="24">
        <v>1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</row>
    <row r="31" spans="1:99" x14ac:dyDescent="0.2">
      <c r="B31" s="21"/>
      <c r="C31" s="21"/>
      <c r="D31" s="21"/>
      <c r="E31" s="21"/>
      <c r="F31" s="21"/>
      <c r="G31" s="21"/>
      <c r="H31" s="21"/>
      <c r="I31" s="21"/>
      <c r="J31" s="21"/>
      <c r="BN31" s="24">
        <v>5</v>
      </c>
      <c r="BO31" s="24">
        <v>3</v>
      </c>
      <c r="BP31" s="24">
        <v>7</v>
      </c>
      <c r="BQ31" s="24">
        <v>0</v>
      </c>
      <c r="BR31" s="24">
        <v>0</v>
      </c>
      <c r="BS31" s="24">
        <v>0</v>
      </c>
      <c r="BT31" s="24">
        <v>0</v>
      </c>
      <c r="BU31" s="24">
        <v>1</v>
      </c>
      <c r="BV31" s="24">
        <v>1</v>
      </c>
    </row>
    <row r="32" spans="1:99" x14ac:dyDescent="0.2">
      <c r="B32" s="21"/>
      <c r="C32" s="21"/>
      <c r="D32" s="21"/>
      <c r="E32" s="21"/>
      <c r="F32" s="21"/>
      <c r="G32" s="21"/>
      <c r="H32" s="21"/>
      <c r="I32" s="21"/>
      <c r="J32" s="21"/>
      <c r="BN32" s="24">
        <v>6</v>
      </c>
      <c r="BO32" s="24">
        <v>2</v>
      </c>
      <c r="BP32" s="24">
        <v>6</v>
      </c>
      <c r="BQ32" s="24">
        <v>1</v>
      </c>
      <c r="BR32" s="24">
        <v>1</v>
      </c>
      <c r="BS32" s="24">
        <v>0</v>
      </c>
      <c r="BT32" s="24">
        <v>0</v>
      </c>
      <c r="BU32" s="24">
        <v>1</v>
      </c>
      <c r="BV32" s="24">
        <v>2</v>
      </c>
    </row>
    <row r="33" spans="2:74" x14ac:dyDescent="0.2">
      <c r="B33" s="21"/>
      <c r="C33" s="21"/>
      <c r="D33" s="21"/>
      <c r="E33" s="21"/>
      <c r="F33" s="21"/>
      <c r="G33" s="21"/>
      <c r="H33" s="21"/>
      <c r="I33" s="21"/>
      <c r="J33" s="21"/>
      <c r="BN33" s="24">
        <v>3</v>
      </c>
      <c r="BO33" s="24">
        <v>1</v>
      </c>
      <c r="BP33" s="24">
        <v>1</v>
      </c>
      <c r="BQ33" s="24">
        <v>0</v>
      </c>
      <c r="BR33" s="24">
        <v>0</v>
      </c>
      <c r="BS33" s="24">
        <v>0</v>
      </c>
      <c r="BT33" s="24">
        <v>1</v>
      </c>
      <c r="BU33" s="24">
        <v>1</v>
      </c>
      <c r="BV33" s="24">
        <v>0</v>
      </c>
    </row>
    <row r="34" spans="2:74" x14ac:dyDescent="0.2">
      <c r="B34" s="21"/>
      <c r="C34" s="21"/>
      <c r="D34" s="21"/>
      <c r="E34" s="21"/>
      <c r="F34" s="21"/>
      <c r="G34" s="21"/>
      <c r="H34" s="21"/>
      <c r="I34" s="21"/>
      <c r="J34" s="21"/>
      <c r="BN34" s="24">
        <v>3</v>
      </c>
      <c r="BO34" s="24">
        <v>1</v>
      </c>
      <c r="BP34" s="24">
        <v>1</v>
      </c>
      <c r="BQ34" s="24">
        <v>0</v>
      </c>
      <c r="BR34" s="24">
        <v>0</v>
      </c>
      <c r="BS34" s="24">
        <v>0</v>
      </c>
      <c r="BT34" s="24">
        <v>1</v>
      </c>
      <c r="BU34" s="24">
        <v>0</v>
      </c>
      <c r="BV34" s="24">
        <v>1</v>
      </c>
    </row>
    <row r="35" spans="2:74" x14ac:dyDescent="0.2">
      <c r="B35" s="21"/>
      <c r="C35" s="21"/>
      <c r="D35" s="21"/>
      <c r="E35" s="21"/>
      <c r="F35" s="21"/>
      <c r="G35" s="21"/>
      <c r="H35" s="21"/>
      <c r="I35" s="21"/>
      <c r="J35" s="21"/>
      <c r="BN35" s="24">
        <v>3</v>
      </c>
      <c r="BO35" s="24">
        <v>2</v>
      </c>
      <c r="BP35" s="24">
        <v>3</v>
      </c>
      <c r="BQ35" s="24">
        <v>0</v>
      </c>
      <c r="BR35" s="24">
        <v>0</v>
      </c>
      <c r="BS35" s="24">
        <v>0</v>
      </c>
      <c r="BT35" s="24">
        <v>1</v>
      </c>
      <c r="BU35" s="24">
        <v>0</v>
      </c>
      <c r="BV35" s="24">
        <v>0</v>
      </c>
    </row>
    <row r="36" spans="2:74" x14ac:dyDescent="0.2">
      <c r="B36" s="21"/>
      <c r="C36" s="21"/>
      <c r="D36" s="21"/>
      <c r="E36" s="21"/>
      <c r="F36" s="21"/>
      <c r="G36" s="21"/>
      <c r="H36" s="21"/>
      <c r="I36" s="21"/>
      <c r="J36" s="21"/>
      <c r="BN36" s="24">
        <v>2</v>
      </c>
      <c r="BO36" s="24">
        <v>2</v>
      </c>
      <c r="BP36" s="24">
        <v>2</v>
      </c>
      <c r="BQ36" s="24">
        <v>1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</row>
    <row r="37" spans="2:74" x14ac:dyDescent="0.2">
      <c r="B37" s="21"/>
      <c r="C37" s="21"/>
      <c r="D37" s="21"/>
      <c r="E37" s="21"/>
      <c r="F37" s="21"/>
      <c r="G37" s="21"/>
      <c r="H37" s="21"/>
      <c r="I37" s="21"/>
      <c r="J37" s="21"/>
      <c r="BN37" s="24">
        <v>3</v>
      </c>
      <c r="BO37" s="24">
        <v>1</v>
      </c>
      <c r="BP37" s="24">
        <v>1</v>
      </c>
      <c r="BQ37" s="24">
        <v>1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</row>
    <row r="38" spans="2:74" x14ac:dyDescent="0.2">
      <c r="B38" s="21"/>
      <c r="C38" s="21"/>
      <c r="D38" s="21"/>
      <c r="E38" s="21"/>
      <c r="F38" s="21"/>
      <c r="G38" s="21"/>
      <c r="H38" s="21"/>
      <c r="I38" s="21"/>
      <c r="J38" s="21"/>
      <c r="BN38" s="24">
        <v>1</v>
      </c>
      <c r="BO38" s="24">
        <v>1</v>
      </c>
      <c r="BP38" s="24">
        <v>1</v>
      </c>
      <c r="BQ38" s="24">
        <v>1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</row>
    <row r="39" spans="2:74" x14ac:dyDescent="0.2">
      <c r="B39" s="21"/>
      <c r="C39" s="21"/>
      <c r="D39" s="21"/>
      <c r="E39" s="21"/>
      <c r="F39" s="21"/>
      <c r="G39" s="21"/>
      <c r="H39" s="21"/>
      <c r="I39" s="21"/>
      <c r="J39" s="21"/>
      <c r="BN39" s="24">
        <v>2</v>
      </c>
      <c r="BO39" s="24">
        <v>1</v>
      </c>
      <c r="BP39" s="24">
        <v>2</v>
      </c>
      <c r="BQ39" s="24">
        <v>1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</row>
    <row r="40" spans="2:74" x14ac:dyDescent="0.2">
      <c r="B40" s="21"/>
      <c r="C40" s="21"/>
      <c r="D40" s="21"/>
      <c r="E40" s="21"/>
      <c r="F40" s="21"/>
      <c r="G40" s="21"/>
      <c r="H40" s="21"/>
      <c r="I40" s="21"/>
      <c r="J40" s="21"/>
      <c r="BN40" s="24">
        <v>3</v>
      </c>
      <c r="BO40" s="24">
        <v>3</v>
      </c>
      <c r="BP40" s="24">
        <v>4</v>
      </c>
      <c r="BQ40" s="24">
        <v>2</v>
      </c>
      <c r="BR40" s="24">
        <v>0</v>
      </c>
      <c r="BS40" s="24">
        <v>0</v>
      </c>
      <c r="BT40" s="24">
        <v>1</v>
      </c>
      <c r="BU40" s="24">
        <v>0</v>
      </c>
      <c r="BV40" s="24">
        <v>1</v>
      </c>
    </row>
    <row r="41" spans="2:74" x14ac:dyDescent="0.2">
      <c r="B41" s="21"/>
      <c r="C41" s="21"/>
      <c r="D41" s="21"/>
      <c r="E41" s="21"/>
      <c r="F41" s="21"/>
      <c r="G41" s="21"/>
      <c r="H41" s="21"/>
      <c r="I41" s="21"/>
      <c r="J41" s="21"/>
      <c r="BN41" s="24">
        <v>4</v>
      </c>
      <c r="BO41" s="24">
        <v>2</v>
      </c>
      <c r="BP41" s="24">
        <v>6</v>
      </c>
      <c r="BQ41" s="24">
        <v>1</v>
      </c>
      <c r="BR41" s="24">
        <v>0</v>
      </c>
      <c r="BS41" s="24">
        <v>0</v>
      </c>
      <c r="BT41" s="24">
        <v>1</v>
      </c>
      <c r="BU41" s="24">
        <v>1</v>
      </c>
      <c r="BV41" s="24">
        <v>1</v>
      </c>
    </row>
    <row r="42" spans="2:74" x14ac:dyDescent="0.2">
      <c r="B42" s="21"/>
      <c r="C42" s="21"/>
      <c r="D42" s="21"/>
      <c r="E42" s="21"/>
      <c r="F42" s="21"/>
      <c r="G42" s="21"/>
      <c r="H42" s="21"/>
      <c r="I42" s="21"/>
      <c r="J42" s="21"/>
      <c r="BN42" s="24">
        <v>1</v>
      </c>
      <c r="BO42" s="24">
        <v>0</v>
      </c>
      <c r="BP42" s="24">
        <v>1</v>
      </c>
      <c r="BQ42" s="24">
        <v>0</v>
      </c>
      <c r="BR42" s="24">
        <v>0</v>
      </c>
      <c r="BS42" s="24">
        <v>0</v>
      </c>
      <c r="BT42" s="24">
        <v>1</v>
      </c>
      <c r="BU42" s="24">
        <v>0</v>
      </c>
      <c r="BV42" s="24">
        <v>1</v>
      </c>
    </row>
    <row r="43" spans="2:74" x14ac:dyDescent="0.2">
      <c r="B43" s="21"/>
      <c r="C43" s="21"/>
      <c r="D43" s="21"/>
      <c r="E43" s="21"/>
      <c r="F43" s="21"/>
      <c r="G43" s="21"/>
      <c r="H43" s="21"/>
      <c r="I43" s="21"/>
      <c r="J43" s="21"/>
      <c r="BN43" s="24">
        <v>2</v>
      </c>
      <c r="BO43" s="24">
        <v>2</v>
      </c>
      <c r="BP43" s="24">
        <v>2</v>
      </c>
      <c r="BQ43" s="24">
        <v>1</v>
      </c>
      <c r="BR43" s="24">
        <v>0</v>
      </c>
      <c r="BS43" s="24">
        <v>0</v>
      </c>
      <c r="BT43" s="24">
        <v>1</v>
      </c>
      <c r="BU43" s="24">
        <v>0</v>
      </c>
      <c r="BV43" s="24">
        <v>1</v>
      </c>
    </row>
    <row r="44" spans="2:74" x14ac:dyDescent="0.2">
      <c r="B44" s="21"/>
      <c r="C44" s="21"/>
      <c r="D44" s="21"/>
      <c r="E44" s="21"/>
      <c r="F44" s="21"/>
      <c r="G44" s="21"/>
      <c r="H44" s="21"/>
      <c r="I44" s="21"/>
      <c r="J44" s="21"/>
      <c r="BN44" s="24">
        <v>4</v>
      </c>
      <c r="BO44" s="24">
        <v>2</v>
      </c>
      <c r="BP44" s="24">
        <v>2</v>
      </c>
      <c r="BQ44" s="24">
        <v>0</v>
      </c>
      <c r="BR44" s="24">
        <v>0</v>
      </c>
      <c r="BS44" s="24">
        <v>0</v>
      </c>
      <c r="BT44" s="24">
        <v>1</v>
      </c>
      <c r="BU44" s="24">
        <v>1</v>
      </c>
      <c r="BV44" s="24">
        <v>0</v>
      </c>
    </row>
    <row r="45" spans="2:74" x14ac:dyDescent="0.2">
      <c r="B45" s="21"/>
      <c r="C45" s="21"/>
      <c r="D45" s="21"/>
      <c r="E45" s="21"/>
      <c r="F45" s="21"/>
      <c r="G45" s="21"/>
      <c r="H45" s="21"/>
      <c r="I45" s="21"/>
      <c r="J45" s="21"/>
      <c r="BN45" s="24">
        <v>2</v>
      </c>
      <c r="BO45" s="24">
        <v>0</v>
      </c>
      <c r="BP45" s="24">
        <v>1</v>
      </c>
      <c r="BQ45" s="24">
        <v>0</v>
      </c>
      <c r="BR45" s="24">
        <v>0</v>
      </c>
      <c r="BS45" s="24">
        <v>0</v>
      </c>
      <c r="BT45" s="24">
        <v>1</v>
      </c>
      <c r="BU45" s="24">
        <v>0</v>
      </c>
      <c r="BV45" s="24">
        <v>1</v>
      </c>
    </row>
    <row r="46" spans="2:74" x14ac:dyDescent="0.2">
      <c r="B46" s="21"/>
      <c r="C46" s="21"/>
      <c r="D46" s="21"/>
      <c r="E46" s="21"/>
      <c r="F46" s="21"/>
      <c r="G46" s="21"/>
      <c r="H46" s="21"/>
      <c r="I46" s="21"/>
      <c r="J46" s="21"/>
      <c r="BN46" s="24">
        <v>4</v>
      </c>
      <c r="BO46" s="24">
        <v>2</v>
      </c>
      <c r="BP46" s="24">
        <v>2</v>
      </c>
      <c r="BQ46" s="24">
        <v>0</v>
      </c>
      <c r="BR46" s="24">
        <v>0</v>
      </c>
      <c r="BS46" s="24">
        <v>0</v>
      </c>
      <c r="BT46" s="24">
        <v>1</v>
      </c>
      <c r="BU46" s="24">
        <v>0</v>
      </c>
      <c r="BV46" s="24">
        <v>0</v>
      </c>
    </row>
    <row r="47" spans="2:74" x14ac:dyDescent="0.2">
      <c r="B47" s="21"/>
      <c r="C47" s="21"/>
      <c r="D47" s="21"/>
      <c r="E47" s="21"/>
      <c r="F47" s="21"/>
      <c r="G47" s="21"/>
      <c r="H47" s="21"/>
      <c r="I47" s="21"/>
      <c r="J47" s="21"/>
      <c r="BN47" s="24">
        <v>2</v>
      </c>
      <c r="BO47" s="24">
        <v>1</v>
      </c>
      <c r="BP47" s="24">
        <v>2</v>
      </c>
      <c r="BQ47" s="24">
        <v>0</v>
      </c>
      <c r="BR47" s="24">
        <v>0</v>
      </c>
      <c r="BS47" s="24">
        <v>0</v>
      </c>
      <c r="BT47" s="24">
        <v>0</v>
      </c>
      <c r="BU47" s="24">
        <v>1</v>
      </c>
      <c r="BV47" s="24">
        <v>0</v>
      </c>
    </row>
    <row r="48" spans="2:74" x14ac:dyDescent="0.2">
      <c r="B48" s="21"/>
      <c r="C48" s="21"/>
      <c r="D48" s="21"/>
      <c r="E48" s="21"/>
      <c r="F48" s="21"/>
      <c r="G48" s="21"/>
      <c r="H48" s="21"/>
      <c r="I48" s="21"/>
      <c r="J48" s="21"/>
      <c r="BN48" s="24">
        <v>2</v>
      </c>
      <c r="BO48" s="24">
        <v>1</v>
      </c>
      <c r="BP48" s="24">
        <v>1</v>
      </c>
      <c r="BQ48" s="24">
        <v>0</v>
      </c>
      <c r="BR48" s="24">
        <v>0</v>
      </c>
      <c r="BS48" s="24">
        <v>0</v>
      </c>
      <c r="BT48" s="24">
        <v>0</v>
      </c>
      <c r="BU48" s="24">
        <v>1</v>
      </c>
      <c r="BV48" s="24">
        <v>0</v>
      </c>
    </row>
    <row r="49" spans="2:39" x14ac:dyDescent="0.2">
      <c r="B49" s="21"/>
      <c r="C49" s="21"/>
      <c r="D49" s="21"/>
      <c r="E49" s="21"/>
      <c r="F49" s="21"/>
      <c r="G49" s="21"/>
      <c r="H49" s="21"/>
      <c r="I49" s="21"/>
      <c r="J49" s="2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V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M23:V23 X23:AK23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 x14ac:dyDescent="0.2"/>
  <cols>
    <col min="1" max="1" width="24.1640625" style="35" bestFit="1" customWidth="1"/>
    <col min="2" max="61" width="5.33203125" style="35" customWidth="1"/>
    <col min="62" max="16384" width="11.5" style="35"/>
  </cols>
  <sheetData>
    <row r="2" spans="1:61" x14ac:dyDescent="0.2">
      <c r="B2" s="26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v>40</v>
      </c>
      <c r="AP2" s="26">
        <v>41</v>
      </c>
      <c r="AQ2" s="26">
        <v>42</v>
      </c>
      <c r="AR2" s="26">
        <v>43</v>
      </c>
      <c r="AS2" s="26">
        <v>44</v>
      </c>
      <c r="AT2" s="26">
        <v>45</v>
      </c>
      <c r="AU2" s="26">
        <v>46</v>
      </c>
      <c r="AV2" s="26">
        <v>47</v>
      </c>
      <c r="AW2" s="26">
        <v>48</v>
      </c>
      <c r="AX2" s="26">
        <v>49</v>
      </c>
      <c r="AY2" s="26">
        <v>50</v>
      </c>
      <c r="AZ2" s="26">
        <v>51</v>
      </c>
      <c r="BA2" s="26">
        <v>52</v>
      </c>
      <c r="BB2" s="26">
        <v>53</v>
      </c>
      <c r="BC2" s="26">
        <v>54</v>
      </c>
      <c r="BD2" s="26">
        <v>55</v>
      </c>
      <c r="BE2" s="26">
        <v>56</v>
      </c>
      <c r="BF2" s="26">
        <v>57</v>
      </c>
      <c r="BG2" s="26">
        <v>58</v>
      </c>
      <c r="BH2" s="26">
        <v>59</v>
      </c>
      <c r="BI2" s="26">
        <v>60</v>
      </c>
    </row>
    <row r="3" spans="1:61" x14ac:dyDescent="0.2">
      <c r="A3" s="66" t="s">
        <v>25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0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1</v>
      </c>
      <c r="BA3" s="39">
        <v>0</v>
      </c>
      <c r="BB3" s="39">
        <v>0</v>
      </c>
      <c r="BC3" s="39">
        <v>0</v>
      </c>
      <c r="BD3" s="39">
        <v>0</v>
      </c>
      <c r="BE3" s="39">
        <v>0</v>
      </c>
      <c r="BF3" s="39">
        <v>0</v>
      </c>
      <c r="BG3" s="39">
        <v>0</v>
      </c>
      <c r="BH3" s="39">
        <v>0</v>
      </c>
      <c r="BI3" s="39">
        <v>0</v>
      </c>
    </row>
    <row r="4" spans="1:61" x14ac:dyDescent="0.2">
      <c r="A4" s="66" t="s">
        <v>26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1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</row>
    <row r="5" spans="1:61" x14ac:dyDescent="0.2">
      <c r="A5" s="66" t="s">
        <v>27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39">
        <v>1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</row>
    <row r="6" spans="1:61" x14ac:dyDescent="0.2">
      <c r="A6" s="66" t="s">
        <v>28</v>
      </c>
      <c r="B6" s="39">
        <v>0</v>
      </c>
      <c r="C6" s="39">
        <v>1</v>
      </c>
      <c r="D6" s="39"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</row>
    <row r="7" spans="1:61" x14ac:dyDescent="0.2">
      <c r="A7" s="66" t="s">
        <v>29</v>
      </c>
      <c r="B7" s="39">
        <v>0</v>
      </c>
      <c r="C7" s="39">
        <v>1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0</v>
      </c>
      <c r="AI7" s="39">
        <v>0</v>
      </c>
      <c r="AJ7" s="39">
        <v>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39">
        <v>0</v>
      </c>
      <c r="AR7" s="39">
        <v>0</v>
      </c>
      <c r="AS7" s="39">
        <v>0</v>
      </c>
      <c r="AT7" s="39">
        <v>0</v>
      </c>
      <c r="AU7" s="39">
        <v>0</v>
      </c>
      <c r="AV7" s="39">
        <v>0</v>
      </c>
      <c r="AW7" s="39">
        <v>0</v>
      </c>
      <c r="AX7" s="39">
        <v>0</v>
      </c>
      <c r="AY7" s="39">
        <v>0</v>
      </c>
      <c r="AZ7" s="39">
        <v>0</v>
      </c>
      <c r="BA7" s="39">
        <v>0</v>
      </c>
      <c r="BB7" s="39">
        <v>0</v>
      </c>
      <c r="BC7" s="39">
        <v>0</v>
      </c>
      <c r="BD7" s="39">
        <v>0</v>
      </c>
      <c r="BE7" s="39">
        <v>0</v>
      </c>
      <c r="BF7" s="39">
        <v>0</v>
      </c>
      <c r="BG7" s="39">
        <v>0</v>
      </c>
      <c r="BH7" s="39">
        <v>0</v>
      </c>
      <c r="BI7" s="39">
        <v>0</v>
      </c>
    </row>
    <row r="8" spans="1:61" x14ac:dyDescent="0.2">
      <c r="A8" s="66" t="s">
        <v>30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  <c r="L8" s="39">
        <v>1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>
        <v>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39">
        <v>0</v>
      </c>
      <c r="AR8" s="39">
        <v>0</v>
      </c>
      <c r="AS8" s="39">
        <v>0</v>
      </c>
      <c r="AT8" s="39">
        <v>0</v>
      </c>
      <c r="AU8" s="39">
        <v>0</v>
      </c>
      <c r="AV8" s="39">
        <v>0</v>
      </c>
      <c r="AW8" s="39">
        <v>0</v>
      </c>
      <c r="AX8" s="39">
        <v>0</v>
      </c>
      <c r="AY8" s="39">
        <v>0</v>
      </c>
      <c r="AZ8" s="39">
        <v>0</v>
      </c>
      <c r="BA8" s="39">
        <v>0</v>
      </c>
      <c r="BB8" s="39">
        <v>0</v>
      </c>
      <c r="BC8" s="39">
        <v>0</v>
      </c>
      <c r="BD8" s="39">
        <v>0</v>
      </c>
      <c r="BE8" s="39">
        <v>0</v>
      </c>
      <c r="BF8" s="39">
        <v>0</v>
      </c>
      <c r="BG8" s="39">
        <v>0</v>
      </c>
      <c r="BH8" s="39">
        <v>0</v>
      </c>
      <c r="BI8" s="39">
        <v>0</v>
      </c>
    </row>
    <row r="9" spans="1:61" x14ac:dyDescent="0.2">
      <c r="A9" s="66" t="s">
        <v>31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0</v>
      </c>
      <c r="K9" s="39">
        <v>0</v>
      </c>
      <c r="L9" s="39">
        <v>1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</row>
    <row r="10" spans="1:61" x14ac:dyDescent="0.2">
      <c r="A10" s="66" t="s">
        <v>32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1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</row>
    <row r="11" spans="1:61" x14ac:dyDescent="0.2">
      <c r="A11" s="66" t="s">
        <v>33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1</v>
      </c>
      <c r="H11" s="39">
        <v>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>
        <v>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39">
        <v>0</v>
      </c>
      <c r="AR11" s="39">
        <v>0</v>
      </c>
      <c r="AS11" s="39">
        <v>0</v>
      </c>
      <c r="AT11" s="39">
        <v>0</v>
      </c>
      <c r="AU11" s="39">
        <v>0</v>
      </c>
      <c r="AV11" s="39">
        <v>0</v>
      </c>
      <c r="AW11" s="39">
        <v>0</v>
      </c>
      <c r="AX11" s="39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B14" sqref="B14"/>
    </sheetView>
  </sheetViews>
  <sheetFormatPr baseColWidth="10" defaultRowHeight="15" x14ac:dyDescent="0.2"/>
  <cols>
    <col min="1" max="1" width="10.83203125" style="35"/>
    <col min="2" max="2" width="20.6640625" style="35" customWidth="1"/>
    <col min="3" max="12" width="6.1640625" style="35" customWidth="1"/>
    <col min="13" max="13" width="3.6640625" style="35" customWidth="1"/>
    <col min="14" max="16384" width="10.83203125" style="35"/>
  </cols>
  <sheetData>
    <row r="3" spans="2:12" x14ac:dyDescent="0.2">
      <c r="C3" s="95" t="s">
        <v>75</v>
      </c>
      <c r="D3" s="95"/>
      <c r="E3" s="95"/>
      <c r="F3" s="95"/>
      <c r="G3" s="95"/>
      <c r="H3" s="95"/>
      <c r="I3" s="95"/>
      <c r="J3" s="95"/>
      <c r="K3" s="95"/>
      <c r="L3" s="95"/>
    </row>
    <row r="4" spans="2:12" x14ac:dyDescent="0.2">
      <c r="B4" s="75" t="s">
        <v>54</v>
      </c>
      <c r="C4" s="75">
        <v>1</v>
      </c>
      <c r="D4" s="75">
        <v>2</v>
      </c>
      <c r="E4" s="75">
        <v>3</v>
      </c>
      <c r="F4" s="75">
        <v>4</v>
      </c>
      <c r="G4" s="75">
        <v>5</v>
      </c>
      <c r="H4" s="75">
        <v>6</v>
      </c>
      <c r="I4" s="75">
        <v>7</v>
      </c>
      <c r="J4" s="75">
        <v>8</v>
      </c>
      <c r="K4" s="75">
        <v>9</v>
      </c>
      <c r="L4" s="75">
        <v>10</v>
      </c>
    </row>
    <row r="5" spans="2:12" x14ac:dyDescent="0.2">
      <c r="B5" s="35" t="s">
        <v>25</v>
      </c>
      <c r="C5" s="76">
        <f>Forutsetninger!F4</f>
        <v>1</v>
      </c>
      <c r="D5" s="76">
        <f>Forutsetninger!G4</f>
        <v>1</v>
      </c>
      <c r="E5" s="76">
        <f>Forutsetninger!H4</f>
        <v>1</v>
      </c>
      <c r="F5" s="76">
        <f>Forutsetninger!I4</f>
        <v>1</v>
      </c>
      <c r="G5" s="76">
        <f>Forutsetninger!J4</f>
        <v>1</v>
      </c>
      <c r="H5" s="76">
        <f>Forutsetninger!K4</f>
        <v>0</v>
      </c>
      <c r="I5" s="76">
        <f>Forutsetninger!L4</f>
        <v>0</v>
      </c>
      <c r="J5" s="76">
        <f>Forutsetninger!M4</f>
        <v>0</v>
      </c>
      <c r="K5" s="76">
        <f>Forutsetninger!N4</f>
        <v>0</v>
      </c>
      <c r="L5" s="76">
        <f>Forutsetninger!O4</f>
        <v>1</v>
      </c>
    </row>
    <row r="6" spans="2:12" x14ac:dyDescent="0.2">
      <c r="B6" s="35" t="s">
        <v>26</v>
      </c>
      <c r="C6" s="76">
        <f>Forutsetninger!F5</f>
        <v>0</v>
      </c>
      <c r="D6" s="76">
        <f>Forutsetninger!G5</f>
        <v>0</v>
      </c>
      <c r="E6" s="76">
        <f>Forutsetninger!H5</f>
        <v>0</v>
      </c>
      <c r="F6" s="76">
        <f>Forutsetninger!I5</f>
        <v>0</v>
      </c>
      <c r="G6" s="76">
        <f>Forutsetninger!J5</f>
        <v>0</v>
      </c>
      <c r="H6" s="76">
        <f>Forutsetninger!K5</f>
        <v>1</v>
      </c>
      <c r="I6" s="76">
        <f>Forutsetninger!L5</f>
        <v>1</v>
      </c>
      <c r="J6" s="76">
        <f>Forutsetninger!M5</f>
        <v>1</v>
      </c>
      <c r="K6" s="76">
        <f>Forutsetninger!N5</f>
        <v>0</v>
      </c>
      <c r="L6" s="76">
        <f>Forutsetninger!O5</f>
        <v>0</v>
      </c>
    </row>
    <row r="7" spans="2:12" x14ac:dyDescent="0.2">
      <c r="B7" s="35" t="s">
        <v>27</v>
      </c>
      <c r="C7" s="76">
        <f>Forutsetninger!F6</f>
        <v>0</v>
      </c>
      <c r="D7" s="76">
        <f>Forutsetninger!G6</f>
        <v>0</v>
      </c>
      <c r="E7" s="76">
        <f>Forutsetninger!H6</f>
        <v>0</v>
      </c>
      <c r="F7" s="76">
        <f>Forutsetninger!I6</f>
        <v>0</v>
      </c>
      <c r="G7" s="76">
        <f>Forutsetninger!J6</f>
        <v>0</v>
      </c>
      <c r="H7" s="76">
        <f>Forutsetninger!K6</f>
        <v>1</v>
      </c>
      <c r="I7" s="76">
        <f>Forutsetninger!L6</f>
        <v>1</v>
      </c>
      <c r="J7" s="76">
        <f>Forutsetninger!M6</f>
        <v>1</v>
      </c>
      <c r="K7" s="76">
        <f>Forutsetninger!N6</f>
        <v>0</v>
      </c>
      <c r="L7" s="76">
        <f>Forutsetninger!O6</f>
        <v>0</v>
      </c>
    </row>
    <row r="8" spans="2:12" x14ac:dyDescent="0.2">
      <c r="B8" s="35" t="s">
        <v>28</v>
      </c>
      <c r="C8" s="76">
        <f>Forutsetninger!F7</f>
        <v>0</v>
      </c>
      <c r="D8" s="76">
        <f>Forutsetninger!G7</f>
        <v>0</v>
      </c>
      <c r="E8" s="76">
        <f>Forutsetninger!H7</f>
        <v>0</v>
      </c>
      <c r="F8" s="76">
        <f>Forutsetninger!I7</f>
        <v>0</v>
      </c>
      <c r="G8" s="76">
        <f>Forutsetninger!J7</f>
        <v>0</v>
      </c>
      <c r="H8" s="76">
        <f>Forutsetninger!K7</f>
        <v>0</v>
      </c>
      <c r="I8" s="76">
        <f>Forutsetninger!L7</f>
        <v>0</v>
      </c>
      <c r="J8" s="76">
        <f>Forutsetninger!M7</f>
        <v>1</v>
      </c>
      <c r="K8" s="76">
        <f>Forutsetninger!N7</f>
        <v>0</v>
      </c>
      <c r="L8" s="76">
        <f>Forutsetninger!O7</f>
        <v>0</v>
      </c>
    </row>
    <row r="9" spans="2:12" x14ac:dyDescent="0.2">
      <c r="B9" s="35" t="s">
        <v>29</v>
      </c>
      <c r="C9" s="76">
        <f>Forutsetninger!F8</f>
        <v>0</v>
      </c>
      <c r="D9" s="76">
        <f>Forutsetninger!G8</f>
        <v>0</v>
      </c>
      <c r="E9" s="76">
        <f>Forutsetninger!H8</f>
        <v>0</v>
      </c>
      <c r="F9" s="76">
        <f>Forutsetninger!I8</f>
        <v>0</v>
      </c>
      <c r="G9" s="76">
        <f>Forutsetninger!J8</f>
        <v>1</v>
      </c>
      <c r="H9" s="76">
        <f>Forutsetninger!K8</f>
        <v>0</v>
      </c>
      <c r="I9" s="76">
        <f>Forutsetninger!L8</f>
        <v>0</v>
      </c>
      <c r="J9" s="76">
        <f>Forutsetninger!M8</f>
        <v>0</v>
      </c>
      <c r="K9" s="76">
        <f>Forutsetninger!N8</f>
        <v>0</v>
      </c>
      <c r="L9" s="76">
        <f>Forutsetninger!O8</f>
        <v>0</v>
      </c>
    </row>
    <row r="10" spans="2:12" x14ac:dyDescent="0.2">
      <c r="B10" s="35" t="s">
        <v>30</v>
      </c>
      <c r="C10" s="76">
        <f>Forutsetninger!F9</f>
        <v>0</v>
      </c>
      <c r="D10" s="76">
        <f>Forutsetninger!G9</f>
        <v>1</v>
      </c>
      <c r="E10" s="76">
        <f>Forutsetninger!H9</f>
        <v>1</v>
      </c>
      <c r="F10" s="76">
        <f>Forutsetninger!I9</f>
        <v>1</v>
      </c>
      <c r="G10" s="76">
        <f>Forutsetninger!J9</f>
        <v>1</v>
      </c>
      <c r="H10" s="76">
        <f>Forutsetninger!K9</f>
        <v>0</v>
      </c>
      <c r="I10" s="76">
        <f>Forutsetninger!L9</f>
        <v>0</v>
      </c>
      <c r="J10" s="76">
        <f>Forutsetninger!M9</f>
        <v>0</v>
      </c>
      <c r="K10" s="76">
        <f>Forutsetninger!N9</f>
        <v>0</v>
      </c>
      <c r="L10" s="76">
        <f>Forutsetninger!O9</f>
        <v>0</v>
      </c>
    </row>
    <row r="11" spans="2:12" x14ac:dyDescent="0.2">
      <c r="B11" s="35" t="s">
        <v>31</v>
      </c>
      <c r="C11" s="76">
        <f>Forutsetninger!F10</f>
        <v>0</v>
      </c>
      <c r="D11" s="76">
        <f>Forutsetninger!G10</f>
        <v>0</v>
      </c>
      <c r="E11" s="76">
        <f>Forutsetninger!H10</f>
        <v>1</v>
      </c>
      <c r="F11" s="76">
        <f>Forutsetninger!I10</f>
        <v>1</v>
      </c>
      <c r="G11" s="76">
        <f>Forutsetninger!J10</f>
        <v>1</v>
      </c>
      <c r="H11" s="76">
        <f>Forutsetninger!K10</f>
        <v>0</v>
      </c>
      <c r="I11" s="76">
        <f>Forutsetninger!L10</f>
        <v>0</v>
      </c>
      <c r="J11" s="76">
        <f>Forutsetninger!M10</f>
        <v>0</v>
      </c>
      <c r="K11" s="76">
        <f>Forutsetninger!N10</f>
        <v>0</v>
      </c>
      <c r="L11" s="76">
        <f>Forutsetninger!O10</f>
        <v>0</v>
      </c>
    </row>
    <row r="12" spans="2:12" x14ac:dyDescent="0.2">
      <c r="B12" s="35" t="s">
        <v>32</v>
      </c>
      <c r="C12" s="76">
        <f>Forutsetninger!F11</f>
        <v>0</v>
      </c>
      <c r="D12" s="76">
        <f>Forutsetninger!G11</f>
        <v>0</v>
      </c>
      <c r="E12" s="76">
        <f>Forutsetninger!H11</f>
        <v>0</v>
      </c>
      <c r="F12" s="76">
        <f>Forutsetninger!I11</f>
        <v>1</v>
      </c>
      <c r="G12" s="76">
        <f>Forutsetninger!J11</f>
        <v>1</v>
      </c>
      <c r="H12" s="76">
        <f>Forutsetninger!K11</f>
        <v>0</v>
      </c>
      <c r="I12" s="76">
        <f>Forutsetninger!L11</f>
        <v>0</v>
      </c>
      <c r="J12" s="76">
        <f>Forutsetninger!M11</f>
        <v>0</v>
      </c>
      <c r="K12" s="76">
        <f>Forutsetninger!N11</f>
        <v>0</v>
      </c>
      <c r="L12" s="76">
        <f>Forutsetninger!O11</f>
        <v>0</v>
      </c>
    </row>
    <row r="13" spans="2:12" ht="16" thickBot="1" x14ac:dyDescent="0.25">
      <c r="B13" s="35" t="s">
        <v>33</v>
      </c>
      <c r="C13" s="76">
        <f>Forutsetninger!F12</f>
        <v>0</v>
      </c>
      <c r="D13" s="76">
        <f>Forutsetninger!G12</f>
        <v>0</v>
      </c>
      <c r="E13" s="76">
        <f>Forutsetninger!H12</f>
        <v>0</v>
      </c>
      <c r="F13" s="76">
        <f>Forutsetninger!I12</f>
        <v>0</v>
      </c>
      <c r="G13" s="76">
        <f>Forutsetninger!J12</f>
        <v>0</v>
      </c>
      <c r="H13" s="76">
        <f>Forutsetninger!K12</f>
        <v>0</v>
      </c>
      <c r="I13" s="76">
        <f>Forutsetninger!L12</f>
        <v>1</v>
      </c>
      <c r="J13" s="76">
        <f>Forutsetninger!M12</f>
        <v>1</v>
      </c>
      <c r="K13" s="76">
        <f>Forutsetninger!N12</f>
        <v>0</v>
      </c>
      <c r="L13" s="76">
        <f>Forutsetninger!O12</f>
        <v>0</v>
      </c>
    </row>
    <row r="14" spans="2:12" ht="16" thickBot="1" x14ac:dyDescent="0.25">
      <c r="B14" s="78"/>
      <c r="C14" s="81">
        <v>0</v>
      </c>
      <c r="D14" s="81">
        <v>0</v>
      </c>
      <c r="E14" s="81">
        <v>0</v>
      </c>
      <c r="F14" s="81">
        <v>1</v>
      </c>
      <c r="G14" s="81">
        <v>1</v>
      </c>
      <c r="H14" s="81">
        <v>0</v>
      </c>
      <c r="I14" s="81">
        <v>0</v>
      </c>
      <c r="J14" s="81">
        <v>0</v>
      </c>
      <c r="K14" s="81">
        <v>0</v>
      </c>
      <c r="L14" s="82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O37"/>
  <sheetViews>
    <sheetView zoomScale="150" workbookViewId="0">
      <selection activeCell="B11" sqref="B11"/>
    </sheetView>
  </sheetViews>
  <sheetFormatPr baseColWidth="10" defaultRowHeight="15" x14ac:dyDescent="0.2"/>
  <cols>
    <col min="1" max="2" width="22.5" bestFit="1" customWidth="1"/>
    <col min="3" max="5" width="13.5" customWidth="1"/>
    <col min="6" max="6" width="17.1640625" bestFit="1" customWidth="1"/>
    <col min="7" max="7" width="10.83203125" customWidth="1"/>
    <col min="8" max="8" width="17.83203125" bestFit="1" customWidth="1"/>
    <col min="9" max="10" width="22.5" bestFit="1" customWidth="1"/>
    <col min="11" max="11" width="7.33203125" bestFit="1" customWidth="1"/>
    <col min="12" max="17" width="5.5" customWidth="1"/>
  </cols>
  <sheetData>
    <row r="1" spans="1:15" x14ac:dyDescent="0.2">
      <c r="A1" s="1" t="s">
        <v>54</v>
      </c>
    </row>
    <row r="2" spans="1:15" ht="21" x14ac:dyDescent="0.25">
      <c r="A2" s="17" t="s">
        <v>25</v>
      </c>
      <c r="B2" s="101">
        <v>0.27256192000000001</v>
      </c>
      <c r="C2" s="30">
        <f>D2/SUM($D$2:$D$10)</f>
        <v>0.1802819627244765</v>
      </c>
      <c r="D2" s="72">
        <v>0.17230691383920901</v>
      </c>
      <c r="E2" s="72"/>
      <c r="F2" s="27">
        <v>874769</v>
      </c>
      <c r="G2">
        <v>874769</v>
      </c>
      <c r="H2">
        <v>0.31742361043325795</v>
      </c>
      <c r="I2">
        <f>G2/SUM($G$12)</f>
        <v>0.3084485384317297</v>
      </c>
      <c r="K2" s="30">
        <v>0.20699999999999999</v>
      </c>
      <c r="M2" s="30">
        <v>0.3084485384317297</v>
      </c>
    </row>
    <row r="3" spans="1:15" ht="21" x14ac:dyDescent="0.25">
      <c r="A3" s="17" t="s">
        <v>26</v>
      </c>
      <c r="B3" s="101">
        <v>0.21696931</v>
      </c>
      <c r="C3" s="30">
        <f t="shared" ref="C3:C10" si="0">D3/SUM($D$2:$D$10)</f>
        <v>0.26771237466615622</v>
      </c>
      <c r="D3" s="72">
        <v>0.25586970753025101</v>
      </c>
      <c r="E3" s="72"/>
      <c r="F3" s="27">
        <v>463560</v>
      </c>
      <c r="G3">
        <v>463560</v>
      </c>
      <c r="H3">
        <v>0.16820999469853304</v>
      </c>
      <c r="I3">
        <f t="shared" ref="I3:I10" si="1">G3/SUM($G$12)</f>
        <v>0.16345389980144773</v>
      </c>
      <c r="J3" s="16"/>
      <c r="K3" s="30">
        <v>0.188</v>
      </c>
      <c r="L3" s="16"/>
      <c r="M3" s="30">
        <v>0.16345389980144773</v>
      </c>
    </row>
    <row r="4" spans="1:15" ht="21" x14ac:dyDescent="0.25">
      <c r="A4" s="17" t="s">
        <v>27</v>
      </c>
      <c r="B4" s="101">
        <v>0.15102073999999999</v>
      </c>
      <c r="C4" s="30">
        <f t="shared" si="0"/>
        <v>0.21836696062289365</v>
      </c>
      <c r="D4" s="72">
        <v>0.20870716349412399</v>
      </c>
      <c r="E4" s="72"/>
      <c r="F4" s="27">
        <v>760232</v>
      </c>
      <c r="G4">
        <v>760232</v>
      </c>
      <c r="H4">
        <v>0.27586206896551724</v>
      </c>
      <c r="I4">
        <f t="shared" si="1"/>
        <v>0.26806213899787346</v>
      </c>
      <c r="K4" s="30">
        <v>0.24399999999999999</v>
      </c>
      <c r="M4" s="30">
        <v>0.26806213899787346</v>
      </c>
    </row>
    <row r="5" spans="1:15" ht="21" x14ac:dyDescent="0.25">
      <c r="A5" s="17" t="s">
        <v>28</v>
      </c>
      <c r="B5" s="101">
        <v>3.1773170000000003E-2</v>
      </c>
      <c r="C5" s="30">
        <f t="shared" si="0"/>
        <v>4.1283923844027209E-2</v>
      </c>
      <c r="D5" s="72">
        <v>3.9457666209285598E-2</v>
      </c>
      <c r="E5" s="72"/>
      <c r="F5" s="27">
        <v>158475</v>
      </c>
      <c r="G5">
        <v>158475</v>
      </c>
      <c r="H5">
        <v>5.7505131827271599E-2</v>
      </c>
      <c r="I5">
        <f t="shared" si="1"/>
        <v>5.5879188823527548E-2</v>
      </c>
      <c r="J5" s="16"/>
      <c r="K5" s="30">
        <v>0.03</v>
      </c>
      <c r="L5" s="16"/>
      <c r="M5" s="30">
        <v>5.5879188823527548E-2</v>
      </c>
    </row>
    <row r="6" spans="1:15" ht="21" x14ac:dyDescent="0.25">
      <c r="A6" s="17" t="s">
        <v>29</v>
      </c>
      <c r="B6" s="101">
        <v>3.0135789999999999E-2</v>
      </c>
      <c r="C6" s="72">
        <f t="shared" si="0"/>
        <v>3.2378105521835579E-2</v>
      </c>
      <c r="D6" s="72">
        <v>3.0945810407855601E-2</v>
      </c>
      <c r="E6" s="72"/>
      <c r="F6" s="27">
        <v>79152</v>
      </c>
      <c r="G6">
        <v>79152</v>
      </c>
      <c r="H6">
        <v>2.8721540901670308E-2</v>
      </c>
      <c r="I6">
        <f t="shared" si="1"/>
        <v>2.7909446624135366E-2</v>
      </c>
      <c r="K6" s="30">
        <v>3.1E-2</v>
      </c>
      <c r="M6" s="30">
        <v>2.7909446624135366E-2</v>
      </c>
    </row>
    <row r="7" spans="1:15" ht="21" x14ac:dyDescent="0.25">
      <c r="A7" s="17" t="s">
        <v>30</v>
      </c>
      <c r="B7" s="101">
        <v>6.0126579999999999E-2</v>
      </c>
      <c r="C7" s="30">
        <f t="shared" si="0"/>
        <v>6.0631289383797478E-2</v>
      </c>
      <c r="D7" s="72">
        <v>5.7949171386493602E-2</v>
      </c>
      <c r="E7" s="72"/>
      <c r="F7" s="27">
        <v>30751</v>
      </c>
      <c r="G7">
        <v>30751</v>
      </c>
      <c r="H7">
        <v>0</v>
      </c>
      <c r="I7">
        <f t="shared" si="1"/>
        <v>1.0842977980831649E-2</v>
      </c>
      <c r="K7" s="30">
        <v>5.8000000000000003E-2</v>
      </c>
      <c r="M7" s="30">
        <v>1.0842977980831649E-2</v>
      </c>
    </row>
    <row r="8" spans="1:15" ht="21" x14ac:dyDescent="0.25">
      <c r="A8" s="17" t="s">
        <v>31</v>
      </c>
      <c r="B8" s="101">
        <v>6.0117299999999999E-2</v>
      </c>
      <c r="C8" s="30">
        <f t="shared" si="0"/>
        <v>5.3024296213869601E-2</v>
      </c>
      <c r="D8" s="72">
        <v>5.0678685216396797E-2</v>
      </c>
      <c r="E8" s="72"/>
      <c r="F8" s="27">
        <v>155357</v>
      </c>
      <c r="G8">
        <v>155357</v>
      </c>
      <c r="H8">
        <v>5.6373716771032874E-2</v>
      </c>
      <c r="I8">
        <f t="shared" si="1"/>
        <v>5.4779764240774687E-2</v>
      </c>
      <c r="K8" s="30">
        <v>6.0999999999999999E-2</v>
      </c>
      <c r="M8" s="30">
        <v>5.4779764240774687E-2</v>
      </c>
    </row>
    <row r="9" spans="1:15" ht="21" x14ac:dyDescent="0.25">
      <c r="A9" s="17" t="s">
        <v>32</v>
      </c>
      <c r="B9" s="101">
        <v>8.0699599999999996E-2</v>
      </c>
      <c r="C9" s="30">
        <f t="shared" si="0"/>
        <v>9.2882852059208348E-2</v>
      </c>
      <c r="D9" s="72">
        <v>8.8774036764650399E-2</v>
      </c>
      <c r="E9" s="72"/>
      <c r="F9" s="27">
        <v>116021</v>
      </c>
      <c r="G9">
        <v>116021</v>
      </c>
      <c r="H9">
        <v>4.2100034073083319E-2</v>
      </c>
      <c r="I9">
        <f t="shared" si="1"/>
        <v>4.0909666297488496E-2</v>
      </c>
      <c r="K9" s="30">
        <v>9.0999999999999998E-2</v>
      </c>
      <c r="M9" s="30">
        <v>4.0909666297488496E-2</v>
      </c>
    </row>
    <row r="10" spans="1:15" ht="21" x14ac:dyDescent="0.25">
      <c r="A10" s="17" t="s">
        <v>33</v>
      </c>
      <c r="B10" s="101">
        <v>4.7071300000000003E-2</v>
      </c>
      <c r="C10" s="30">
        <f t="shared" si="0"/>
        <v>5.3438234963735315E-2</v>
      </c>
      <c r="D10" s="72">
        <v>5.1074312751342298E-2</v>
      </c>
      <c r="E10" s="72"/>
      <c r="F10" s="27">
        <v>148275</v>
      </c>
      <c r="G10">
        <v>148275</v>
      </c>
      <c r="H10">
        <v>5.3803902329633675E-2</v>
      </c>
      <c r="I10">
        <f t="shared" si="1"/>
        <v>5.2282610650314226E-2</v>
      </c>
      <c r="K10" s="30">
        <v>5.0999999999999997E-2</v>
      </c>
      <c r="M10" s="30">
        <v>5.2282610650314226E-2</v>
      </c>
    </row>
    <row r="11" spans="1:15" x14ac:dyDescent="0.2">
      <c r="A11" s="17"/>
      <c r="B11" s="102">
        <f>1-SUM(B2:B10)</f>
        <v>4.9524289999999915E-2</v>
      </c>
      <c r="C11" s="63"/>
      <c r="D11" s="63"/>
      <c r="E11" s="63"/>
    </row>
    <row r="12" spans="1:15" ht="16" x14ac:dyDescent="0.2">
      <c r="F12" t="s">
        <v>67</v>
      </c>
      <c r="G12" s="29">
        <v>2836029</v>
      </c>
    </row>
    <row r="13" spans="1:15" ht="21" x14ac:dyDescent="0.25">
      <c r="B13" s="93" t="s">
        <v>133</v>
      </c>
      <c r="G13">
        <f>4%*G12</f>
        <v>113441.16</v>
      </c>
    </row>
    <row r="14" spans="1:15" ht="21" x14ac:dyDescent="0.25">
      <c r="B14" s="93" t="s">
        <v>134</v>
      </c>
    </row>
    <row r="15" spans="1:15" x14ac:dyDescent="0.2">
      <c r="F15" s="61">
        <v>0.22249936128144573</v>
      </c>
      <c r="G15" s="61">
        <v>0.2070597341510243</v>
      </c>
      <c r="H15" s="61">
        <v>0.23063677170252544</v>
      </c>
      <c r="I15" s="61">
        <v>2.7888757333211913E-2</v>
      </c>
      <c r="J15" s="61">
        <v>1.9880320305556393E-2</v>
      </c>
      <c r="K15" s="61">
        <v>4.9438057383283961E-2</v>
      </c>
      <c r="L15" s="61">
        <v>5.7613682798383754E-2</v>
      </c>
      <c r="M15" s="61">
        <v>8.8414486736995396E-2</v>
      </c>
      <c r="N15" s="61">
        <v>5.2370605044106532E-2</v>
      </c>
      <c r="O15" s="61">
        <v>3.8630786715452441E-2</v>
      </c>
    </row>
    <row r="16" spans="1:15" x14ac:dyDescent="0.2">
      <c r="C16" s="34">
        <f>B2+B6+B7+B8+B9</f>
        <v>0.50364118999999996</v>
      </c>
      <c r="D16" s="34"/>
      <c r="E16" s="34"/>
    </row>
    <row r="17" spans="6:10" x14ac:dyDescent="0.2">
      <c r="J17" s="17"/>
    </row>
    <row r="18" spans="6:10" x14ac:dyDescent="0.2">
      <c r="J18" s="17"/>
    </row>
    <row r="19" spans="6:10" x14ac:dyDescent="0.2">
      <c r="J19" s="17"/>
    </row>
    <row r="20" spans="6:10" x14ac:dyDescent="0.2">
      <c r="J20" s="17"/>
    </row>
    <row r="21" spans="6:10" x14ac:dyDescent="0.2">
      <c r="J21" s="17"/>
    </row>
    <row r="22" spans="6:10" x14ac:dyDescent="0.2">
      <c r="J22" s="17"/>
    </row>
    <row r="23" spans="6:10" x14ac:dyDescent="0.2">
      <c r="J23" s="17"/>
    </row>
    <row r="24" spans="6:10" x14ac:dyDescent="0.2">
      <c r="J24" s="17"/>
    </row>
    <row r="25" spans="6:10" x14ac:dyDescent="0.2">
      <c r="J25" s="17"/>
    </row>
    <row r="29" spans="6:10" x14ac:dyDescent="0.2">
      <c r="F29" s="17"/>
    </row>
    <row r="30" spans="6:10" x14ac:dyDescent="0.2">
      <c r="F30" s="17"/>
    </row>
    <row r="31" spans="6:10" x14ac:dyDescent="0.2">
      <c r="F31" s="17"/>
    </row>
    <row r="32" spans="6:10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  <row r="37" spans="6:6" x14ac:dyDescent="0.2">
      <c r="F37" s="1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R2" sqref="R2"/>
    </sheetView>
  </sheetViews>
  <sheetFormatPr baseColWidth="10" defaultColWidth="11.5" defaultRowHeight="15" x14ac:dyDescent="0.2"/>
  <cols>
    <col min="1" max="1" width="6.5" style="35" customWidth="1"/>
    <col min="2" max="4" width="13" style="35" customWidth="1"/>
    <col min="5" max="5" width="15.5" style="35" bestFit="1" customWidth="1"/>
    <col min="6" max="6" width="12.5" style="35" bestFit="1" customWidth="1"/>
    <col min="7" max="7" width="11.5" style="35" bestFit="1" customWidth="1"/>
    <col min="8" max="8" width="11.5" style="35" customWidth="1"/>
    <col min="9" max="18" width="7.1640625" style="35" customWidth="1"/>
    <col min="19" max="19" width="3.1640625" style="35" customWidth="1"/>
    <col min="20" max="22" width="6.83203125" style="35" bestFit="1" customWidth="1"/>
    <col min="23" max="29" width="7.83203125" style="35" bestFit="1" customWidth="1"/>
    <col min="30" max="16384" width="11.5" style="35"/>
  </cols>
  <sheetData>
    <row r="1" spans="1:33" ht="118" x14ac:dyDescent="0.2">
      <c r="A1" s="59"/>
      <c r="B1" s="59"/>
      <c r="C1" s="59"/>
      <c r="D1" s="59"/>
      <c r="E1" s="59"/>
      <c r="F1" s="59"/>
      <c r="G1" s="59"/>
      <c r="H1" s="44"/>
      <c r="I1" s="41" t="s">
        <v>25</v>
      </c>
      <c r="J1" s="41" t="s">
        <v>26</v>
      </c>
      <c r="K1" s="41" t="s">
        <v>27</v>
      </c>
      <c r="L1" s="41" t="s">
        <v>28</v>
      </c>
      <c r="M1" s="41" t="s">
        <v>29</v>
      </c>
      <c r="N1" s="41" t="s">
        <v>30</v>
      </c>
      <c r="O1" s="41" t="s">
        <v>31</v>
      </c>
      <c r="P1" s="41" t="s">
        <v>32</v>
      </c>
      <c r="Q1" s="41" t="s">
        <v>33</v>
      </c>
      <c r="R1" s="41" t="s">
        <v>86</v>
      </c>
    </row>
    <row r="2" spans="1:33" x14ac:dyDescent="0.2">
      <c r="A2" s="21"/>
      <c r="B2" s="21"/>
      <c r="C2" s="21"/>
      <c r="D2" s="21"/>
      <c r="E2" s="21"/>
      <c r="F2" s="21"/>
      <c r="G2" s="60"/>
      <c r="H2" s="58" t="s">
        <v>96</v>
      </c>
      <c r="I2" s="61">
        <v>0.17230691383920901</v>
      </c>
      <c r="J2" s="61">
        <v>0.25586970753025101</v>
      </c>
      <c r="K2" s="61">
        <v>0.20870716349412399</v>
      </c>
      <c r="L2" s="61">
        <v>3.9457666209285598E-2</v>
      </c>
      <c r="M2" s="61">
        <v>3.0945810407855601E-2</v>
      </c>
      <c r="N2" s="61">
        <v>5.7949171386493602E-2</v>
      </c>
      <c r="O2" s="61">
        <v>5.0678685216396797E-2</v>
      </c>
      <c r="P2" s="61">
        <v>8.8774036764650399E-2</v>
      </c>
      <c r="Q2" s="61">
        <v>5.1074312751342298E-2</v>
      </c>
      <c r="R2" s="61"/>
      <c r="S2" s="39"/>
    </row>
    <row r="3" spans="1:33" x14ac:dyDescent="0.2">
      <c r="A3" s="21"/>
      <c r="B3" s="21"/>
      <c r="C3" s="21"/>
      <c r="D3" s="21"/>
      <c r="E3" s="21"/>
      <c r="F3" s="21"/>
      <c r="G3" s="21"/>
      <c r="H3" s="18" t="s">
        <v>95</v>
      </c>
      <c r="I3" s="86">
        <f ca="1">SQRT(1/SUM(T6:T68))</f>
        <v>8.8394046667753523E-3</v>
      </c>
      <c r="J3" s="86">
        <f t="shared" ref="J3:Q3" ca="1" si="0">SQRT(1/SUM(U6:U68))</f>
        <v>9.2580844232608445E-3</v>
      </c>
      <c r="K3" s="86">
        <f t="shared" ca="1" si="0"/>
        <v>9.684053919342319E-3</v>
      </c>
      <c r="L3" s="86">
        <f t="shared" ca="1" si="0"/>
        <v>3.9608275171943083E-3</v>
      </c>
      <c r="M3" s="86">
        <f t="shared" ca="1" si="0"/>
        <v>4.0486937285783261E-3</v>
      </c>
      <c r="N3" s="86">
        <f t="shared" ca="1" si="0"/>
        <v>5.1426664716444602E-3</v>
      </c>
      <c r="O3" s="86">
        <f t="shared" ca="1" si="0"/>
        <v>4.9731064169957631E-3</v>
      </c>
      <c r="P3" s="86">
        <f t="shared" ca="1" si="0"/>
        <v>6.5340516848025141E-3</v>
      </c>
      <c r="Q3" s="86">
        <f t="shared" ca="1" si="0"/>
        <v>5.3812336331659841E-3</v>
      </c>
      <c r="R3" s="55"/>
    </row>
    <row r="5" spans="1:33" ht="118" x14ac:dyDescent="0.2">
      <c r="A5" s="56" t="s">
        <v>78</v>
      </c>
      <c r="B5" s="56" t="s">
        <v>79</v>
      </c>
      <c r="C5" s="56" t="s">
        <v>84</v>
      </c>
      <c r="D5" s="56" t="s">
        <v>87</v>
      </c>
      <c r="E5" s="56" t="s">
        <v>80</v>
      </c>
      <c r="F5" s="56" t="s">
        <v>81</v>
      </c>
      <c r="G5" s="56" t="s">
        <v>82</v>
      </c>
      <c r="H5" s="56" t="s">
        <v>92</v>
      </c>
      <c r="I5" s="57" t="s">
        <v>25</v>
      </c>
      <c r="J5" s="57" t="s">
        <v>26</v>
      </c>
      <c r="K5" s="57" t="s">
        <v>27</v>
      </c>
      <c r="L5" s="57" t="s">
        <v>28</v>
      </c>
      <c r="M5" s="57" t="s">
        <v>29</v>
      </c>
      <c r="N5" s="57" t="s">
        <v>30</v>
      </c>
      <c r="O5" s="57" t="s">
        <v>31</v>
      </c>
      <c r="P5" s="57" t="s">
        <v>32</v>
      </c>
      <c r="Q5" s="57" t="s">
        <v>33</v>
      </c>
      <c r="R5" s="57" t="s">
        <v>86</v>
      </c>
      <c r="T5" s="57" t="s">
        <v>25</v>
      </c>
      <c r="U5" s="57" t="s">
        <v>26</v>
      </c>
      <c r="V5" s="57" t="s">
        <v>27</v>
      </c>
      <c r="W5" s="57" t="s">
        <v>28</v>
      </c>
      <c r="X5" s="57" t="s">
        <v>29</v>
      </c>
      <c r="Y5" s="57" t="s">
        <v>30</v>
      </c>
      <c r="Z5" s="57" t="s">
        <v>31</v>
      </c>
      <c r="AA5" s="57" t="s">
        <v>32</v>
      </c>
      <c r="AB5" s="57" t="s">
        <v>33</v>
      </c>
      <c r="AC5" s="57" t="s">
        <v>86</v>
      </c>
      <c r="AG5" s="62"/>
    </row>
    <row r="6" spans="1:33" x14ac:dyDescent="0.2">
      <c r="A6" s="42">
        <v>11</v>
      </c>
      <c r="B6" s="45">
        <v>45588</v>
      </c>
      <c r="C6" s="46">
        <f t="shared" ref="C6" ca="1" si="1">_xlfn.DAYS(dagensDato,B6)</f>
        <v>266</v>
      </c>
      <c r="D6" s="46">
        <v>1</v>
      </c>
      <c r="E6" s="42" t="s">
        <v>116</v>
      </c>
      <c r="F6" s="42">
        <v>992</v>
      </c>
      <c r="G6" s="43">
        <v>0.71</v>
      </c>
      <c r="H6" s="46">
        <f t="shared" ref="H6" si="2">IF(G6="N/A",responsNA*F6,G6*F6)</f>
        <v>704.31999999999994</v>
      </c>
      <c r="I6" s="40">
        <v>0.17199999999999999</v>
      </c>
      <c r="J6" s="40">
        <v>0.22</v>
      </c>
      <c r="K6" s="40">
        <v>0.22700000000000001</v>
      </c>
      <c r="L6" s="40">
        <v>2.4E-2</v>
      </c>
      <c r="M6" s="40">
        <v>3.5000000000000003E-2</v>
      </c>
      <c r="N6" s="40">
        <v>6.2E-2</v>
      </c>
      <c r="O6" s="40">
        <v>4.9000000000000002E-2</v>
      </c>
      <c r="P6" s="40">
        <v>0.09</v>
      </c>
      <c r="Q6" s="40">
        <v>0.06</v>
      </c>
      <c r="R6" s="40"/>
      <c r="T6" s="47">
        <f t="shared" ref="T6" si="3">$H6/(I6*(1-I6))*$D6</f>
        <v>4945.5117402539045</v>
      </c>
      <c r="U6" s="47">
        <f t="shared" ref="U6" si="4">$H6/(J6*(1-J6))*$D6</f>
        <v>4104.4289044289044</v>
      </c>
      <c r="V6" s="47">
        <f t="shared" ref="V6" si="5">$H6/(K6*(1-K6))*$D6</f>
        <v>4013.8826358771526</v>
      </c>
      <c r="W6" s="47">
        <f t="shared" ref="W6" si="6">$H6/(L6*(1-L6))*$D6</f>
        <v>30068.306010928958</v>
      </c>
      <c r="X6" s="47">
        <f t="shared" ref="X6" si="7">$H6/(M6*(1-M6))*$D6</f>
        <v>20853.293856402663</v>
      </c>
      <c r="Y6" s="47">
        <f t="shared" ref="Y6" si="8">$H6/(N6*(1-N6))*$D6</f>
        <v>12110.874200426439</v>
      </c>
      <c r="Z6" s="47">
        <f t="shared" ref="Z6" si="9">$H6/(O6*(1-O6))*$D6</f>
        <v>15114.487435352688</v>
      </c>
      <c r="AA6" s="47">
        <f t="shared" ref="AA6" si="10">$H6/(P6*(1-P6))*$D6</f>
        <v>8599.7557997557997</v>
      </c>
      <c r="AB6" s="47">
        <f t="shared" ref="AB6" si="11">$H6/(Q6*(1-Q6))*$D6</f>
        <v>12487.943262411349</v>
      </c>
      <c r="AC6" s="47" t="e">
        <f t="shared" ref="AC6" si="12">$H6/(R6*(1-R6))*$D6</f>
        <v>#DIV/0!</v>
      </c>
      <c r="AG6" s="62"/>
    </row>
    <row r="7" spans="1:33" x14ac:dyDescent="0.2">
      <c r="A7" s="42">
        <v>10</v>
      </c>
      <c r="B7" s="45">
        <v>45580</v>
      </c>
      <c r="C7" s="46">
        <f t="shared" ref="C7" ca="1" si="13">_xlfn.DAYS(dagensDato,B7)</f>
        <v>274</v>
      </c>
      <c r="D7" s="46">
        <v>1</v>
      </c>
      <c r="E7" s="42" t="s">
        <v>85</v>
      </c>
      <c r="F7" s="42">
        <v>1000</v>
      </c>
      <c r="G7" s="43">
        <v>0.71</v>
      </c>
      <c r="H7" s="46">
        <f t="shared" ref="H7" si="14">IF(G7="N/A",responsNA*F7,G7*F7)</f>
        <v>710</v>
      </c>
      <c r="I7" s="40">
        <v>0.20699999999999999</v>
      </c>
      <c r="J7" s="40">
        <v>0.192</v>
      </c>
      <c r="K7" s="40">
        <v>0.25700000000000001</v>
      </c>
      <c r="L7" s="40">
        <v>3.5000000000000003E-2</v>
      </c>
      <c r="M7" s="40">
        <v>3.5000000000000003E-2</v>
      </c>
      <c r="N7" s="40">
        <v>4.7E-2</v>
      </c>
      <c r="O7" s="40">
        <v>5.2999999999999999E-2</v>
      </c>
      <c r="P7" s="40">
        <v>8.3000000000000004E-2</v>
      </c>
      <c r="Q7" s="40">
        <v>6.3E-2</v>
      </c>
      <c r="R7" s="40"/>
      <c r="T7" s="47">
        <f t="shared" ref="T7:T12" si="15">$H7/(I7*(1-I7))*$D7</f>
        <v>4325.2858648439551</v>
      </c>
      <c r="U7" s="47">
        <f t="shared" ref="U7" si="16">$H7/(J7*(1-J7))*$D7</f>
        <v>4576.6295379537951</v>
      </c>
      <c r="V7" s="47">
        <f t="shared" ref="V7" si="17">$H7/(K7*(1-K7))*$D7</f>
        <v>3718.2313787306689</v>
      </c>
      <c r="W7" s="47">
        <f t="shared" ref="W7" si="18">$H7/(L7*(1-L7))*$D7</f>
        <v>21021.465581051074</v>
      </c>
      <c r="X7" s="47">
        <f t="shared" ref="X7" si="19">$H7/(M7*(1-M7))*$D7</f>
        <v>21021.465581051074</v>
      </c>
      <c r="Y7" s="47">
        <f t="shared" ref="Y7" si="20">$H7/(N7*(1-N7))*$D7</f>
        <v>15851.398718492555</v>
      </c>
      <c r="Z7" s="47">
        <f t="shared" ref="Z7" si="21">$H7/(O7*(1-O7))*$D7</f>
        <v>14145.962423542069</v>
      </c>
      <c r="AA7" s="47">
        <f t="shared" ref="AA7" si="22">$H7/(P7*(1-P7))*$D7</f>
        <v>9328.4807715047737</v>
      </c>
      <c r="AB7" s="47">
        <f t="shared" ref="AB7" si="23">$H7/(Q7*(1-Q7))*$D7</f>
        <v>12027.578729819923</v>
      </c>
      <c r="AC7" s="47" t="e">
        <f t="shared" ref="AC7" si="24">$H7/(R7*(1-R7))*$D7</f>
        <v>#DIV/0!</v>
      </c>
      <c r="AG7" s="62"/>
    </row>
    <row r="8" spans="1:33" x14ac:dyDescent="0.2">
      <c r="A8" s="42">
        <v>9</v>
      </c>
      <c r="B8" s="45">
        <v>45574</v>
      </c>
      <c r="C8" s="46">
        <v>19</v>
      </c>
      <c r="D8" s="46">
        <f t="shared" ref="D8:D16" si="25">IF(C8&lt;=vektB,IF(C8&lt;=vektA,1,1-(C8-vektA)/(vektB-vektA)),0)</f>
        <v>0.73333333333333339</v>
      </c>
      <c r="E8" s="42" t="s">
        <v>90</v>
      </c>
      <c r="F8" s="42">
        <v>1000</v>
      </c>
      <c r="G8" s="43">
        <v>0.71</v>
      </c>
      <c r="H8" s="46">
        <f t="shared" ref="H8" si="26">IF(G8="N/A",responsNA*F8,G8*F8)</f>
        <v>710</v>
      </c>
      <c r="I8" s="40">
        <v>0.18</v>
      </c>
      <c r="J8" s="40">
        <v>0.22500000000000001</v>
      </c>
      <c r="K8" s="40">
        <v>0.23100000000000001</v>
      </c>
      <c r="L8" s="40">
        <v>4.2999999999999997E-2</v>
      </c>
      <c r="M8" s="40">
        <v>2.8000000000000001E-2</v>
      </c>
      <c r="N8" s="40">
        <v>5.6000000000000001E-2</v>
      </c>
      <c r="O8" s="40">
        <v>4.9000000000000002E-2</v>
      </c>
      <c r="P8" s="40">
        <v>0.106</v>
      </c>
      <c r="Q8" s="40">
        <v>5.5E-2</v>
      </c>
      <c r="R8" s="40">
        <v>2.7E-2</v>
      </c>
      <c r="T8" s="47">
        <f t="shared" si="15"/>
        <v>3527.551942186089</v>
      </c>
      <c r="U8" s="47">
        <f t="shared" ref="U8" si="27">$H8/(J8*(1-J8))*$D8</f>
        <v>2985.9020310633218</v>
      </c>
      <c r="V8" s="47">
        <f t="shared" ref="V8" si="28">$H8/(K8*(1-K8))*$D8</f>
        <v>2931.0380415712016</v>
      </c>
      <c r="W8" s="47">
        <f t="shared" ref="W8" si="29">$H8/(L8*(1-L8))*$D8</f>
        <v>12652.58843446494</v>
      </c>
      <c r="X8" s="47">
        <f t="shared" ref="X8" si="30">$H8/(M8*(1-M8))*$D8</f>
        <v>19130.90339016265</v>
      </c>
      <c r="Y8" s="47">
        <f t="shared" ref="Y8" si="31">$H8/(N8*(1-N8))*$D8</f>
        <v>9849.1727199354318</v>
      </c>
      <c r="Z8" s="47">
        <f t="shared" ref="Z8" si="32">$H8/(O8*(1-O8))*$D8</f>
        <v>11173.344206241909</v>
      </c>
      <c r="AA8" s="47">
        <f t="shared" ref="AA8" si="33">$H8/(P8*(1-P8))*$D8</f>
        <v>5494.3508786740394</v>
      </c>
      <c r="AB8" s="47">
        <f t="shared" ref="AB8" si="34">$H8/(Q8*(1-Q8))*$D8</f>
        <v>10017.636684303352</v>
      </c>
      <c r="AC8" s="47">
        <f t="shared" ref="AC8" si="35">$H8/(R8*(1-R8))*$D8</f>
        <v>19819.065382614543</v>
      </c>
      <c r="AG8" s="62"/>
    </row>
    <row r="9" spans="1:33" x14ac:dyDescent="0.2">
      <c r="A9" s="42">
        <v>8</v>
      </c>
      <c r="B9" s="45">
        <v>45570</v>
      </c>
      <c r="C9" s="46">
        <f t="shared" ref="C9:C16" ca="1" si="36">_xlfn.DAYS(dagensDato,B9)</f>
        <v>284</v>
      </c>
      <c r="D9" s="46">
        <f t="shared" ca="1" si="25"/>
        <v>0</v>
      </c>
      <c r="E9" s="42" t="s">
        <v>91</v>
      </c>
      <c r="F9" s="42">
        <v>1001</v>
      </c>
      <c r="G9" s="43" t="s">
        <v>94</v>
      </c>
      <c r="H9" s="46">
        <f t="shared" ref="H9:H16" si="37">IF(G9="N/A",responsNA*F9,G9*F9)</f>
        <v>650.65</v>
      </c>
      <c r="I9" s="40">
        <v>0.20300000000000001</v>
      </c>
      <c r="J9" s="40">
        <v>0.16600000000000001</v>
      </c>
      <c r="K9" s="40">
        <v>0.24</v>
      </c>
      <c r="L9" s="40">
        <v>2.5000000000000001E-2</v>
      </c>
      <c r="M9" s="40">
        <v>3.6999999999999998E-2</v>
      </c>
      <c r="N9" s="40">
        <v>5.2999999999999999E-2</v>
      </c>
      <c r="O9" s="40">
        <v>6.9000000000000006E-2</v>
      </c>
      <c r="P9" s="40">
        <v>0.10199999999999999</v>
      </c>
      <c r="Q9" s="40">
        <v>5.3999999999999999E-2</v>
      </c>
      <c r="R9" s="40">
        <v>5.0999999999999997E-2</v>
      </c>
      <c r="T9" s="47">
        <f t="shared" ca="1" si="15"/>
        <v>0</v>
      </c>
      <c r="U9" s="47">
        <f t="shared" ref="U9:U11" ca="1" si="38">$H9/(J9*(1-J9))*$D9</f>
        <v>0</v>
      </c>
      <c r="V9" s="47">
        <f t="shared" ref="V9:V11" ca="1" si="39">$H9/(K9*(1-K9))*$D9</f>
        <v>0</v>
      </c>
      <c r="W9" s="47">
        <f t="shared" ref="W9:W11" ca="1" si="40">$H9/(L9*(1-L9))*$D9</f>
        <v>0</v>
      </c>
      <c r="X9" s="47">
        <f t="shared" ref="X9:X11" ca="1" si="41">$H9/(M9*(1-M9))*$D9</f>
        <v>0</v>
      </c>
      <c r="Y9" s="47">
        <f t="shared" ref="Y9:Y11" ca="1" si="42">$H9/(N9*(1-N9))*$D9</f>
        <v>0</v>
      </c>
      <c r="Z9" s="47">
        <f t="shared" ref="Z9:Z11" ca="1" si="43">$H9/(O9*(1-O9))*$D9</f>
        <v>0</v>
      </c>
      <c r="AA9" s="47">
        <f t="shared" ref="AA9:AA11" ca="1" si="44">$H9/(P9*(1-P9))*$D9</f>
        <v>0</v>
      </c>
      <c r="AB9" s="47">
        <f t="shared" ref="AB9:AB11" ca="1" si="45">$H9/(Q9*(1-Q9))*$D9</f>
        <v>0</v>
      </c>
      <c r="AC9" s="47">
        <f t="shared" ref="AC9:AC11" ca="1" si="46">$H9/(R9*(1-R9))*$D9</f>
        <v>0</v>
      </c>
      <c r="AG9" s="62"/>
    </row>
    <row r="10" spans="1:33" x14ac:dyDescent="0.2">
      <c r="A10" s="42">
        <v>7</v>
      </c>
      <c r="B10" s="45">
        <v>45569</v>
      </c>
      <c r="C10" s="46">
        <f t="shared" ca="1" si="36"/>
        <v>285</v>
      </c>
      <c r="D10" s="46">
        <f t="shared" ca="1" si="25"/>
        <v>0</v>
      </c>
      <c r="E10" s="42" t="s">
        <v>93</v>
      </c>
      <c r="F10" s="42">
        <v>1051</v>
      </c>
      <c r="G10" s="43" t="s">
        <v>94</v>
      </c>
      <c r="H10" s="46">
        <f t="shared" si="37"/>
        <v>683.15</v>
      </c>
      <c r="I10" s="40">
        <v>0.20200000000000001</v>
      </c>
      <c r="J10" s="40">
        <v>0.23300000000000001</v>
      </c>
      <c r="K10" s="40">
        <v>0.20100000000000001</v>
      </c>
      <c r="L10" s="40">
        <v>3.5999999999999997E-2</v>
      </c>
      <c r="M10" s="40">
        <v>3.6999999999999998E-2</v>
      </c>
      <c r="N10" s="40">
        <v>6.4000000000000001E-2</v>
      </c>
      <c r="O10" s="40">
        <v>6.9000000000000006E-2</v>
      </c>
      <c r="P10" s="40">
        <v>6.7000000000000004E-2</v>
      </c>
      <c r="Q10" s="40">
        <v>0.05</v>
      </c>
      <c r="R10" s="40">
        <v>0.04</v>
      </c>
      <c r="T10" s="47">
        <f t="shared" ca="1" si="15"/>
        <v>0</v>
      </c>
      <c r="U10" s="47">
        <f t="shared" ca="1" si="38"/>
        <v>0</v>
      </c>
      <c r="V10" s="47">
        <f t="shared" ca="1" si="39"/>
        <v>0</v>
      </c>
      <c r="W10" s="47">
        <f t="shared" ca="1" si="40"/>
        <v>0</v>
      </c>
      <c r="X10" s="47">
        <f t="shared" ca="1" si="41"/>
        <v>0</v>
      </c>
      <c r="Y10" s="47">
        <f t="shared" ca="1" si="42"/>
        <v>0</v>
      </c>
      <c r="Z10" s="47">
        <f t="shared" ca="1" si="43"/>
        <v>0</v>
      </c>
      <c r="AA10" s="47">
        <f t="shared" ca="1" si="44"/>
        <v>0</v>
      </c>
      <c r="AB10" s="47">
        <f t="shared" ca="1" si="45"/>
        <v>0</v>
      </c>
      <c r="AC10" s="47">
        <f t="shared" ca="1" si="46"/>
        <v>0</v>
      </c>
      <c r="AG10" s="62"/>
    </row>
    <row r="11" spans="1:33" x14ac:dyDescent="0.2">
      <c r="A11" s="42">
        <v>6</v>
      </c>
      <c r="B11" s="45">
        <v>45568</v>
      </c>
      <c r="C11" s="46">
        <f t="shared" ca="1" si="36"/>
        <v>286</v>
      </c>
      <c r="D11" s="46">
        <f t="shared" ca="1" si="25"/>
        <v>0</v>
      </c>
      <c r="E11" s="42" t="s">
        <v>90</v>
      </c>
      <c r="F11" s="42">
        <v>1000</v>
      </c>
      <c r="G11" s="43">
        <v>0.7</v>
      </c>
      <c r="H11" s="46">
        <f t="shared" si="37"/>
        <v>700</v>
      </c>
      <c r="I11" s="40">
        <v>0.185</v>
      </c>
      <c r="J11" s="40">
        <v>0.20300000000000001</v>
      </c>
      <c r="K11" s="40">
        <v>0.23599999999999999</v>
      </c>
      <c r="L11" s="40">
        <v>3.5999999999999997E-2</v>
      </c>
      <c r="M11" s="40">
        <v>3.5000000000000003E-2</v>
      </c>
      <c r="N11" s="40">
        <v>7.0000000000000007E-2</v>
      </c>
      <c r="O11" s="40">
        <v>5.8999999999999997E-2</v>
      </c>
      <c r="P11" s="40">
        <v>8.1000000000000003E-2</v>
      </c>
      <c r="Q11" s="40">
        <v>0.06</v>
      </c>
      <c r="R11" s="40">
        <v>3.5000000000000003E-2</v>
      </c>
      <c r="T11" s="47">
        <f t="shared" ca="1" si="15"/>
        <v>0</v>
      </c>
      <c r="U11" s="47">
        <f t="shared" ca="1" si="38"/>
        <v>0</v>
      </c>
      <c r="V11" s="47">
        <f t="shared" ca="1" si="39"/>
        <v>0</v>
      </c>
      <c r="W11" s="47">
        <f t="shared" ca="1" si="40"/>
        <v>0</v>
      </c>
      <c r="X11" s="47">
        <f t="shared" ca="1" si="41"/>
        <v>0</v>
      </c>
      <c r="Y11" s="47">
        <f t="shared" ca="1" si="42"/>
        <v>0</v>
      </c>
      <c r="Z11" s="47">
        <f t="shared" ca="1" si="43"/>
        <v>0</v>
      </c>
      <c r="AA11" s="47">
        <f t="shared" ca="1" si="44"/>
        <v>0</v>
      </c>
      <c r="AB11" s="47">
        <f t="shared" ca="1" si="45"/>
        <v>0</v>
      </c>
      <c r="AC11" s="47">
        <f t="shared" ca="1" si="46"/>
        <v>0</v>
      </c>
      <c r="AG11" s="62"/>
    </row>
    <row r="12" spans="1:33" x14ac:dyDescent="0.2">
      <c r="A12" s="42">
        <v>5</v>
      </c>
      <c r="B12" s="45">
        <v>45559</v>
      </c>
      <c r="C12" s="46">
        <f t="shared" ca="1" si="36"/>
        <v>295</v>
      </c>
      <c r="D12" s="46">
        <f t="shared" ca="1" si="25"/>
        <v>0</v>
      </c>
      <c r="E12" s="42" t="s">
        <v>116</v>
      </c>
      <c r="F12" s="42">
        <v>993</v>
      </c>
      <c r="G12" s="43" t="s">
        <v>94</v>
      </c>
      <c r="H12" s="46">
        <f t="shared" si="37"/>
        <v>645.45000000000005</v>
      </c>
      <c r="I12" s="40">
        <v>0.20200000000000001</v>
      </c>
      <c r="J12" s="40">
        <v>0.19500000000000001</v>
      </c>
      <c r="K12" s="40">
        <v>0.255</v>
      </c>
      <c r="L12" s="40">
        <v>2.5000000000000001E-2</v>
      </c>
      <c r="M12" s="40">
        <v>0.04</v>
      </c>
      <c r="N12" s="40">
        <v>0.05</v>
      </c>
      <c r="O12" s="40">
        <v>5.0999999999999997E-2</v>
      </c>
      <c r="P12" s="40">
        <v>8.4000000000000005E-2</v>
      </c>
      <c r="Q12" s="40">
        <v>4.8000000000000001E-2</v>
      </c>
      <c r="R12" s="40">
        <v>4.9000000000000002E-2</v>
      </c>
      <c r="T12" s="47">
        <f t="shared" ca="1" si="15"/>
        <v>0</v>
      </c>
      <c r="U12" s="47">
        <f t="shared" ref="U12:AC15" ca="1" si="47">$H12/(J12*(1-J12))*$D12</f>
        <v>0</v>
      </c>
      <c r="V12" s="47">
        <f t="shared" ca="1" si="47"/>
        <v>0</v>
      </c>
      <c r="W12" s="47">
        <f t="shared" ca="1" si="47"/>
        <v>0</v>
      </c>
      <c r="X12" s="47">
        <f t="shared" ca="1" si="47"/>
        <v>0</v>
      </c>
      <c r="Y12" s="47">
        <f t="shared" ca="1" si="47"/>
        <v>0</v>
      </c>
      <c r="Z12" s="47">
        <f t="shared" ca="1" si="47"/>
        <v>0</v>
      </c>
      <c r="AA12" s="47">
        <f t="shared" ca="1" si="47"/>
        <v>0</v>
      </c>
      <c r="AB12" s="47">
        <f t="shared" ca="1" si="47"/>
        <v>0</v>
      </c>
      <c r="AC12" s="47">
        <f t="shared" ca="1" si="47"/>
        <v>0</v>
      </c>
      <c r="AG12" s="62"/>
    </row>
    <row r="13" spans="1:33" x14ac:dyDescent="0.2">
      <c r="A13" s="42">
        <v>1</v>
      </c>
      <c r="B13" s="45">
        <v>45546</v>
      </c>
      <c r="C13" s="46">
        <f t="shared" ca="1" si="36"/>
        <v>308</v>
      </c>
      <c r="D13" s="46">
        <f t="shared" ca="1" si="25"/>
        <v>0</v>
      </c>
      <c r="E13" s="42" t="s">
        <v>85</v>
      </c>
      <c r="F13" s="42">
        <v>1000</v>
      </c>
      <c r="G13" s="43">
        <v>0.79</v>
      </c>
      <c r="H13" s="46">
        <f t="shared" si="37"/>
        <v>790</v>
      </c>
      <c r="I13" s="40">
        <v>0.219</v>
      </c>
      <c r="J13" s="40">
        <v>0.19800000000000001</v>
      </c>
      <c r="K13" s="40">
        <v>0.23599999999999999</v>
      </c>
      <c r="L13" s="40">
        <v>2.9000000000000001E-2</v>
      </c>
      <c r="M13" s="40">
        <v>2.5999999999999999E-2</v>
      </c>
      <c r="N13" s="40">
        <v>5.0999999999999997E-2</v>
      </c>
      <c r="O13" s="40">
        <v>0.05</v>
      </c>
      <c r="P13" s="40">
        <v>0.106</v>
      </c>
      <c r="Q13" s="40">
        <v>0.05</v>
      </c>
      <c r="R13" s="40">
        <v>3.5000000000000003E-2</v>
      </c>
      <c r="T13" s="47">
        <f t="shared" ref="T13:T15" ca="1" si="48">$H13/(I13*(1-I13))*$D13</f>
        <v>0</v>
      </c>
      <c r="U13" s="47">
        <f t="shared" ca="1" si="47"/>
        <v>0</v>
      </c>
      <c r="V13" s="47">
        <f t="shared" ca="1" si="47"/>
        <v>0</v>
      </c>
      <c r="W13" s="47">
        <f t="shared" ca="1" si="47"/>
        <v>0</v>
      </c>
      <c r="X13" s="47">
        <f t="shared" ca="1" si="47"/>
        <v>0</v>
      </c>
      <c r="Y13" s="47">
        <f t="shared" ca="1" si="47"/>
        <v>0</v>
      </c>
      <c r="Z13" s="47">
        <f t="shared" ca="1" si="47"/>
        <v>0</v>
      </c>
      <c r="AA13" s="47">
        <f t="shared" ca="1" si="47"/>
        <v>0</v>
      </c>
      <c r="AB13" s="47">
        <f t="shared" ca="1" si="47"/>
        <v>0</v>
      </c>
      <c r="AC13" s="47">
        <f t="shared" ca="1" si="47"/>
        <v>0</v>
      </c>
      <c r="AG13" s="62"/>
    </row>
    <row r="14" spans="1:33" x14ac:dyDescent="0.2">
      <c r="A14" s="42">
        <v>2</v>
      </c>
      <c r="B14" s="45">
        <v>45546</v>
      </c>
      <c r="C14" s="46">
        <f t="shared" ca="1" si="36"/>
        <v>308</v>
      </c>
      <c r="D14" s="46">
        <f t="shared" ca="1" si="25"/>
        <v>0</v>
      </c>
      <c r="E14" s="42" t="s">
        <v>90</v>
      </c>
      <c r="F14" s="42">
        <v>1000</v>
      </c>
      <c r="G14" s="43">
        <v>0.74</v>
      </c>
      <c r="H14" s="46">
        <f t="shared" si="37"/>
        <v>740</v>
      </c>
      <c r="I14" s="40">
        <v>0.20200000000000001</v>
      </c>
      <c r="J14" s="40">
        <v>0.20200000000000001</v>
      </c>
      <c r="K14" s="40">
        <v>0.23699999999999999</v>
      </c>
      <c r="L14" s="40">
        <v>0.02</v>
      </c>
      <c r="M14" s="40">
        <v>2.5999999999999999E-2</v>
      </c>
      <c r="N14" s="40">
        <v>5.8000000000000003E-2</v>
      </c>
      <c r="O14" s="40">
        <v>0.06</v>
      </c>
      <c r="P14" s="40">
        <v>8.5999999999999993E-2</v>
      </c>
      <c r="Q14" s="40">
        <v>5.6000000000000001E-2</v>
      </c>
      <c r="R14" s="40">
        <v>5.1999999999999998E-2</v>
      </c>
      <c r="T14" s="47">
        <f t="shared" ca="1" si="48"/>
        <v>0</v>
      </c>
      <c r="U14" s="47">
        <f t="shared" ca="1" si="47"/>
        <v>0</v>
      </c>
      <c r="V14" s="47">
        <f t="shared" ca="1" si="47"/>
        <v>0</v>
      </c>
      <c r="W14" s="47">
        <f t="shared" ca="1" si="47"/>
        <v>0</v>
      </c>
      <c r="X14" s="47">
        <f t="shared" ca="1" si="47"/>
        <v>0</v>
      </c>
      <c r="Y14" s="47">
        <f t="shared" ca="1" si="47"/>
        <v>0</v>
      </c>
      <c r="Z14" s="47">
        <f t="shared" ca="1" si="47"/>
        <v>0</v>
      </c>
      <c r="AA14" s="47">
        <f t="shared" ca="1" si="47"/>
        <v>0</v>
      </c>
      <c r="AB14" s="47">
        <f t="shared" ca="1" si="47"/>
        <v>0</v>
      </c>
      <c r="AC14" s="47">
        <f t="shared" ca="1" si="47"/>
        <v>0</v>
      </c>
      <c r="AG14" s="62"/>
    </row>
    <row r="15" spans="1:33" x14ac:dyDescent="0.2">
      <c r="A15" s="42">
        <v>3</v>
      </c>
      <c r="B15" s="45">
        <v>45542</v>
      </c>
      <c r="C15" s="46">
        <f t="shared" ca="1" si="36"/>
        <v>312</v>
      </c>
      <c r="D15" s="46">
        <f t="shared" ca="1" si="25"/>
        <v>0</v>
      </c>
      <c r="E15" s="42" t="s">
        <v>91</v>
      </c>
      <c r="F15" s="42">
        <v>1000</v>
      </c>
      <c r="G15" s="43">
        <v>0.76</v>
      </c>
      <c r="H15" s="46">
        <f t="shared" si="37"/>
        <v>760</v>
      </c>
      <c r="I15" s="40">
        <v>0.20799999999999999</v>
      </c>
      <c r="J15" s="40">
        <v>0.17199999999999999</v>
      </c>
      <c r="K15" s="40">
        <v>0.251</v>
      </c>
      <c r="L15" s="40">
        <v>3.4000000000000002E-2</v>
      </c>
      <c r="M15" s="40">
        <v>3.2000000000000001E-2</v>
      </c>
      <c r="N15" s="40">
        <v>5.3999999999999999E-2</v>
      </c>
      <c r="O15" s="40">
        <v>7.4999999999999997E-2</v>
      </c>
      <c r="P15" s="40">
        <v>9.5000000000000001E-2</v>
      </c>
      <c r="Q15" s="40">
        <v>4.8000000000000001E-2</v>
      </c>
      <c r="R15" s="40">
        <v>3.2000000000000001E-2</v>
      </c>
      <c r="T15" s="47">
        <f t="shared" ca="1" si="48"/>
        <v>0</v>
      </c>
      <c r="U15" s="47">
        <f t="shared" ca="1" si="47"/>
        <v>0</v>
      </c>
      <c r="V15" s="47">
        <f t="shared" ca="1" si="47"/>
        <v>0</v>
      </c>
      <c r="W15" s="47">
        <f t="shared" ca="1" si="47"/>
        <v>0</v>
      </c>
      <c r="X15" s="47">
        <f t="shared" ca="1" si="47"/>
        <v>0</v>
      </c>
      <c r="Y15" s="47">
        <f t="shared" ca="1" si="47"/>
        <v>0</v>
      </c>
      <c r="Z15" s="47">
        <f t="shared" ca="1" si="47"/>
        <v>0</v>
      </c>
      <c r="AA15" s="47">
        <f t="shared" ca="1" si="47"/>
        <v>0</v>
      </c>
      <c r="AB15" s="47">
        <f t="shared" ca="1" si="47"/>
        <v>0</v>
      </c>
      <c r="AC15" s="47">
        <f t="shared" ca="1" si="47"/>
        <v>0</v>
      </c>
      <c r="AG15" s="62"/>
    </row>
    <row r="16" spans="1:33" x14ac:dyDescent="0.2">
      <c r="A16" s="42">
        <v>4</v>
      </c>
      <c r="B16" s="45">
        <v>45540</v>
      </c>
      <c r="C16" s="46">
        <f t="shared" ca="1" si="36"/>
        <v>314</v>
      </c>
      <c r="D16" s="46">
        <f t="shared" ca="1" si="25"/>
        <v>0</v>
      </c>
      <c r="E16" s="42" t="s">
        <v>93</v>
      </c>
      <c r="F16" s="42">
        <v>1198</v>
      </c>
      <c r="G16" s="43" t="s">
        <v>94</v>
      </c>
      <c r="H16" s="46">
        <f t="shared" si="37"/>
        <v>778.7</v>
      </c>
      <c r="I16" s="40">
        <v>0.214</v>
      </c>
      <c r="J16" s="40">
        <v>0.219</v>
      </c>
      <c r="K16" s="40">
        <v>0.21</v>
      </c>
      <c r="L16" s="40">
        <v>3.6999999999999998E-2</v>
      </c>
      <c r="M16" s="40">
        <v>3.9E-2</v>
      </c>
      <c r="N16" s="40">
        <v>5.5E-2</v>
      </c>
      <c r="O16" s="40">
        <v>6.0999999999999999E-2</v>
      </c>
      <c r="P16" s="40">
        <v>8.2000000000000003E-2</v>
      </c>
      <c r="Q16" s="40">
        <v>4.2000000000000003E-2</v>
      </c>
      <c r="R16" s="40">
        <v>4.1000000000000002E-2</v>
      </c>
      <c r="T16" s="47">
        <f t="shared" ref="T16" ca="1" si="49">$H16/(I16*(1-I16))*$D16</f>
        <v>0</v>
      </c>
      <c r="U16" s="47">
        <f t="shared" ref="U16" ca="1" si="50">$H16/(J16*(1-J16))*$D16</f>
        <v>0</v>
      </c>
      <c r="V16" s="47">
        <f t="shared" ref="V16" ca="1" si="51">$H16/(K16*(1-K16))*$D16</f>
        <v>0</v>
      </c>
      <c r="W16" s="47">
        <f t="shared" ref="W16" ca="1" si="52">$H16/(L16*(1-L16))*$D16</f>
        <v>0</v>
      </c>
      <c r="X16" s="47">
        <f t="shared" ref="X16" ca="1" si="53">$H16/(M16*(1-M16))*$D16</f>
        <v>0</v>
      </c>
      <c r="Y16" s="47">
        <f t="shared" ref="Y16" ca="1" si="54">$H16/(N16*(1-N16))*$D16</f>
        <v>0</v>
      </c>
      <c r="Z16" s="47">
        <f t="shared" ref="Z16" ca="1" si="55">$H16/(O16*(1-O16))*$D16</f>
        <v>0</v>
      </c>
      <c r="AA16" s="47">
        <f t="shared" ref="AA16" ca="1" si="56">$H16/(P16*(1-P16))*$D16</f>
        <v>0</v>
      </c>
      <c r="AB16" s="47">
        <f t="shared" ref="AB16" ca="1" si="57">$H16/(Q16*(1-Q16))*$D16</f>
        <v>0</v>
      </c>
      <c r="AC16" s="47">
        <f t="shared" ref="AC16" ca="1" si="58">$H16/(R16*(1-R16))*$D16</f>
        <v>0</v>
      </c>
    </row>
    <row r="17" spans="2:18" x14ac:dyDescent="0.2">
      <c r="B17" s="36"/>
      <c r="C17" s="37"/>
      <c r="D17" s="37"/>
      <c r="G17" s="38"/>
      <c r="H17" s="38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x14ac:dyDescent="0.2">
      <c r="B18" s="36"/>
      <c r="C18" s="37"/>
      <c r="D18" s="37"/>
      <c r="G18" s="38"/>
      <c r="H18" s="38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x14ac:dyDescent="0.2">
      <c r="B19" s="36"/>
      <c r="C19" s="37"/>
      <c r="D19" s="37"/>
      <c r="G19" s="38"/>
      <c r="H19" s="38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x14ac:dyDescent="0.2">
      <c r="B20" s="36"/>
      <c r="C20" s="37"/>
      <c r="D20" s="37"/>
      <c r="G20" s="38"/>
      <c r="H20" s="38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x14ac:dyDescent="0.2">
      <c r="B21" s="36"/>
      <c r="C21" s="37"/>
      <c r="D21" s="37"/>
      <c r="G21" s="38"/>
      <c r="H21" s="38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x14ac:dyDescent="0.2">
      <c r="B22" s="36"/>
      <c r="C22" s="37"/>
      <c r="D22" s="37"/>
      <c r="G22" s="38"/>
      <c r="H22" s="38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x14ac:dyDescent="0.2">
      <c r="B23" s="36"/>
      <c r="C23" s="37"/>
      <c r="D23" s="37"/>
      <c r="G23" s="38"/>
      <c r="H23" s="38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x14ac:dyDescent="0.2">
      <c r="B24" s="36"/>
      <c r="C24" s="37"/>
      <c r="D24" s="37"/>
      <c r="G24" s="38"/>
      <c r="H24" s="38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x14ac:dyDescent="0.2">
      <c r="B25" s="36"/>
      <c r="C25" s="37"/>
      <c r="D25" s="37"/>
      <c r="G25" s="38"/>
      <c r="H25" s="38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x14ac:dyDescent="0.2">
      <c r="B26" s="36"/>
      <c r="C26" s="37"/>
      <c r="D26" s="37"/>
      <c r="G26" s="38"/>
      <c r="H26" s="38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x14ac:dyDescent="0.2">
      <c r="B27" s="36"/>
      <c r="C27" s="37"/>
      <c r="D27" s="37"/>
      <c r="G27" s="38"/>
      <c r="H27" s="38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x14ac:dyDescent="0.2">
      <c r="B28" s="36"/>
      <c r="C28" s="37"/>
      <c r="D28" s="37"/>
      <c r="G28" s="38"/>
      <c r="H28" s="38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x14ac:dyDescent="0.2">
      <c r="B29" s="36"/>
      <c r="C29" s="37"/>
      <c r="D29" s="37"/>
      <c r="G29" s="38"/>
      <c r="H29" s="38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x14ac:dyDescent="0.2">
      <c r="B30" s="36"/>
      <c r="C30" s="37"/>
      <c r="D30" s="37"/>
      <c r="G30" s="38"/>
      <c r="H30" s="38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x14ac:dyDescent="0.2">
      <c r="B31" s="36"/>
      <c r="C31" s="37"/>
      <c r="D31" s="37"/>
      <c r="G31" s="38"/>
      <c r="H31" s="38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x14ac:dyDescent="0.2">
      <c r="B32" s="36"/>
      <c r="C32" s="37"/>
      <c r="D32" s="37"/>
      <c r="G32" s="38"/>
      <c r="H32" s="38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x14ac:dyDescent="0.2">
      <c r="B33" s="36"/>
      <c r="C33" s="37"/>
      <c r="D33" s="37"/>
      <c r="G33" s="38"/>
      <c r="H33" s="38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x14ac:dyDescent="0.2">
      <c r="B34" s="36"/>
      <c r="C34" s="37"/>
      <c r="D34" s="37"/>
      <c r="G34" s="38"/>
      <c r="H34" s="38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x14ac:dyDescent="0.2">
      <c r="B35" s="36"/>
      <c r="C35" s="37"/>
      <c r="D35" s="37"/>
      <c r="G35" s="38"/>
      <c r="H35" s="38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x14ac:dyDescent="0.2">
      <c r="B36" s="36"/>
      <c r="C36" s="37"/>
      <c r="D36" s="37"/>
      <c r="G36" s="38"/>
      <c r="H36" s="38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x14ac:dyDescent="0.2">
      <c r="B37" s="36"/>
      <c r="C37" s="37"/>
      <c r="D37" s="37"/>
      <c r="G37" s="38"/>
      <c r="H37" s="38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x14ac:dyDescent="0.2">
      <c r="B38" s="36"/>
      <c r="C38" s="37"/>
      <c r="D38" s="37"/>
      <c r="G38" s="38"/>
      <c r="H38" s="38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x14ac:dyDescent="0.2">
      <c r="B39" s="36"/>
      <c r="C39" s="37"/>
      <c r="D39" s="37"/>
      <c r="G39" s="38"/>
      <c r="H39" s="38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x14ac:dyDescent="0.2">
      <c r="B40" s="36"/>
      <c r="C40" s="37"/>
      <c r="D40" s="37"/>
      <c r="G40" s="38"/>
      <c r="H40" s="38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x14ac:dyDescent="0.2">
      <c r="B41" s="36"/>
      <c r="C41" s="37"/>
      <c r="D41" s="37"/>
      <c r="G41" s="38"/>
      <c r="H41" s="38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x14ac:dyDescent="0.2">
      <c r="B42" s="36"/>
      <c r="C42" s="37"/>
      <c r="D42" s="37"/>
      <c r="G42" s="38"/>
      <c r="H42" s="38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x14ac:dyDescent="0.2">
      <c r="B43" s="36"/>
      <c r="C43" s="37"/>
      <c r="D43" s="37"/>
      <c r="G43" s="38"/>
      <c r="H43" s="38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x14ac:dyDescent="0.2">
      <c r="B44" s="36"/>
      <c r="C44" s="37"/>
      <c r="D44" s="37"/>
      <c r="G44" s="38"/>
      <c r="H44" s="38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x14ac:dyDescent="0.2">
      <c r="B45" s="36"/>
      <c r="C45" s="37"/>
      <c r="D45" s="37"/>
      <c r="G45" s="38"/>
      <c r="H45" s="38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x14ac:dyDescent="0.2">
      <c r="B46" s="36"/>
      <c r="C46" s="37"/>
      <c r="D46" s="37"/>
      <c r="G46" s="38"/>
      <c r="H46" s="38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x14ac:dyDescent="0.2">
      <c r="B47" s="36"/>
      <c r="C47" s="37"/>
      <c r="D47" s="37"/>
      <c r="G47" s="38"/>
      <c r="H47" s="38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x14ac:dyDescent="0.2">
      <c r="B48" s="36"/>
      <c r="C48" s="37"/>
      <c r="D48" s="37"/>
      <c r="G48" s="38"/>
      <c r="H48" s="38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x14ac:dyDescent="0.2">
      <c r="B49" s="36"/>
      <c r="C49" s="37"/>
      <c r="D49" s="37"/>
      <c r="G49" s="38"/>
      <c r="H49" s="38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x14ac:dyDescent="0.2">
      <c r="B50" s="36"/>
      <c r="C50" s="37"/>
      <c r="D50" s="37"/>
      <c r="G50" s="38"/>
      <c r="H50" s="38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x14ac:dyDescent="0.2">
      <c r="B51" s="36"/>
      <c r="C51" s="37"/>
      <c r="D51" s="37"/>
      <c r="G51" s="38"/>
      <c r="H51" s="38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x14ac:dyDescent="0.2">
      <c r="B52" s="36"/>
      <c r="C52" s="37"/>
      <c r="D52" s="37"/>
      <c r="G52" s="38"/>
      <c r="H52" s="38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x14ac:dyDescent="0.2">
      <c r="B53" s="36"/>
      <c r="C53" s="37"/>
      <c r="D53" s="37"/>
      <c r="G53" s="38"/>
      <c r="H53" s="38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x14ac:dyDescent="0.2">
      <c r="B54" s="36"/>
      <c r="C54" s="37"/>
      <c r="D54" s="37"/>
      <c r="G54" s="38"/>
      <c r="H54" s="38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x14ac:dyDescent="0.2">
      <c r="B55" s="36"/>
      <c r="C55" s="37"/>
      <c r="D55" s="37"/>
      <c r="G55" s="38"/>
      <c r="H55" s="38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x14ac:dyDescent="0.2">
      <c r="B56" s="36"/>
      <c r="C56" s="37"/>
      <c r="D56" s="37"/>
      <c r="G56" s="38"/>
      <c r="H56" s="38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x14ac:dyDescent="0.2">
      <c r="B57" s="36"/>
      <c r="C57" s="37"/>
      <c r="D57" s="37"/>
      <c r="G57" s="38"/>
      <c r="H57" s="38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x14ac:dyDescent="0.2">
      <c r="B58" s="36"/>
      <c r="C58" s="37"/>
      <c r="D58" s="37"/>
      <c r="G58" s="38"/>
      <c r="H58" s="38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x14ac:dyDescent="0.2">
      <c r="B59" s="36"/>
      <c r="C59" s="37"/>
      <c r="D59" s="37"/>
      <c r="G59" s="38"/>
      <c r="H59" s="38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x14ac:dyDescent="0.2">
      <c r="B60" s="36"/>
      <c r="C60" s="37"/>
      <c r="D60" s="37"/>
      <c r="G60" s="38"/>
      <c r="H60" s="38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x14ac:dyDescent="0.2">
      <c r="B61" s="36"/>
      <c r="C61" s="37"/>
      <c r="D61" s="37"/>
      <c r="G61" s="38"/>
      <c r="H61" s="38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x14ac:dyDescent="0.2">
      <c r="B62" s="36"/>
      <c r="C62" s="37"/>
      <c r="D62" s="37"/>
      <c r="G62" s="38"/>
      <c r="H62" s="38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x14ac:dyDescent="0.2">
      <c r="B63" s="36"/>
      <c r="C63" s="37"/>
      <c r="D63" s="37"/>
      <c r="G63" s="38"/>
      <c r="H63" s="38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x14ac:dyDescent="0.2">
      <c r="B64" s="36"/>
      <c r="C64" s="37"/>
      <c r="D64" s="37"/>
      <c r="G64" s="38"/>
      <c r="H64" s="38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1:29" x14ac:dyDescent="0.2">
      <c r="B65" s="36"/>
      <c r="C65" s="37"/>
      <c r="D65" s="37"/>
      <c r="G65" s="38"/>
      <c r="H65" s="38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1:29" x14ac:dyDescent="0.2">
      <c r="B66" s="36"/>
      <c r="C66" s="37"/>
      <c r="D66" s="37"/>
      <c r="G66" s="38"/>
      <c r="H66" s="38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1:29" x14ac:dyDescent="0.2">
      <c r="A67" s="21"/>
      <c r="B67" s="48"/>
      <c r="C67" s="49"/>
      <c r="D67" s="49"/>
      <c r="E67" s="21"/>
      <c r="F67" s="21"/>
      <c r="G67" s="50"/>
      <c r="H67" s="50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29" x14ac:dyDescent="0.2">
      <c r="A68" s="18"/>
      <c r="B68" s="52"/>
      <c r="C68" s="53"/>
      <c r="D68" s="53"/>
      <c r="E68" s="18"/>
      <c r="F68" s="18"/>
      <c r="G68" s="54"/>
      <c r="H68" s="54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</row>
    <row r="69" spans="1:29" x14ac:dyDescent="0.2">
      <c r="B69" s="36"/>
      <c r="C69" s="37"/>
      <c r="D69" s="37"/>
      <c r="G69" s="38"/>
      <c r="H69" s="38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1:29" x14ac:dyDescent="0.2">
      <c r="B70" s="36"/>
      <c r="C70" s="37"/>
      <c r="D70" s="37"/>
      <c r="G70" s="38"/>
      <c r="H70" s="38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1:29" x14ac:dyDescent="0.2">
      <c r="B71" s="36"/>
      <c r="C71" s="37"/>
      <c r="D71" s="37"/>
      <c r="G71" s="38"/>
      <c r="H71" s="38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1:29" x14ac:dyDescent="0.2">
      <c r="B72" s="36"/>
      <c r="C72" s="37"/>
      <c r="D72" s="37"/>
      <c r="G72" s="38"/>
      <c r="H72" s="38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1:29" x14ac:dyDescent="0.2">
      <c r="B73" s="36"/>
      <c r="C73" s="37"/>
      <c r="D73" s="37"/>
      <c r="G73" s="38"/>
      <c r="H73" s="38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1:29" x14ac:dyDescent="0.2">
      <c r="B74" s="36"/>
      <c r="C74" s="37"/>
      <c r="D74" s="37"/>
      <c r="G74" s="38"/>
      <c r="H74" s="38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1:29" x14ac:dyDescent="0.2">
      <c r="B75" s="36"/>
      <c r="C75" s="37"/>
      <c r="D75" s="37"/>
      <c r="G75" s="38"/>
      <c r="H75" s="38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1:29" x14ac:dyDescent="0.2">
      <c r="B76" s="36"/>
      <c r="C76" s="37"/>
      <c r="D76" s="37"/>
      <c r="G76" s="38"/>
      <c r="H76" s="38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1:29" x14ac:dyDescent="0.2">
      <c r="B77" s="36"/>
      <c r="C77" s="37"/>
      <c r="D77" s="37"/>
      <c r="G77" s="38"/>
      <c r="H77" s="38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1:29" x14ac:dyDescent="0.2">
      <c r="B78" s="36"/>
      <c r="C78" s="37"/>
      <c r="D78" s="37"/>
      <c r="G78" s="38"/>
      <c r="H78" s="38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1:29" x14ac:dyDescent="0.2">
      <c r="B79" s="36"/>
      <c r="C79" s="37"/>
      <c r="D79" s="37"/>
      <c r="G79" s="38"/>
      <c r="H79" s="38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1:29" x14ac:dyDescent="0.2">
      <c r="B80" s="36"/>
      <c r="C80" s="37"/>
      <c r="D80" s="37"/>
      <c r="G80" s="38"/>
      <c r="H80" s="38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x14ac:dyDescent="0.2">
      <c r="B81" s="36"/>
      <c r="C81" s="37"/>
      <c r="D81" s="37"/>
      <c r="G81" s="38"/>
      <c r="H81" s="38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x14ac:dyDescent="0.2">
      <c r="B82" s="36"/>
      <c r="C82" s="37"/>
      <c r="D82" s="37"/>
      <c r="G82" s="38"/>
      <c r="H82" s="38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x14ac:dyDescent="0.2">
      <c r="B83" s="36"/>
      <c r="C83" s="37"/>
      <c r="D83" s="37"/>
      <c r="G83" s="38"/>
      <c r="H83" s="38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x14ac:dyDescent="0.2">
      <c r="B84" s="36"/>
      <c r="C84" s="37"/>
      <c r="D84" s="37"/>
      <c r="G84" s="38"/>
      <c r="H84" s="38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x14ac:dyDescent="0.2">
      <c r="B85" s="36"/>
      <c r="C85" s="37"/>
      <c r="D85" s="37"/>
      <c r="G85" s="38"/>
      <c r="H85" s="38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x14ac:dyDescent="0.2">
      <c r="B86" s="36"/>
      <c r="C86" s="37"/>
      <c r="D86" s="37"/>
      <c r="G86" s="38"/>
      <c r="H86" s="38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x14ac:dyDescent="0.2">
      <c r="B87" s="36"/>
      <c r="C87" s="37"/>
      <c r="D87" s="37"/>
      <c r="G87" s="38"/>
      <c r="H87" s="38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x14ac:dyDescent="0.2">
      <c r="B88" s="36"/>
      <c r="C88" s="37"/>
      <c r="D88" s="37"/>
      <c r="G88" s="38"/>
      <c r="H88" s="38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x14ac:dyDescent="0.2">
      <c r="B89" s="36"/>
      <c r="C89" s="37"/>
      <c r="D89" s="37"/>
      <c r="G89" s="38"/>
      <c r="H89" s="38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x14ac:dyDescent="0.2">
      <c r="B90" s="36"/>
      <c r="C90" s="37"/>
      <c r="D90" s="37"/>
      <c r="G90" s="38"/>
      <c r="H90" s="38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x14ac:dyDescent="0.2">
      <c r="B91" s="36"/>
      <c r="C91" s="37"/>
      <c r="D91" s="37"/>
      <c r="G91" s="38"/>
      <c r="H91" s="38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x14ac:dyDescent="0.2">
      <c r="B92" s="36"/>
      <c r="C92" s="37"/>
      <c r="D92" s="37"/>
      <c r="G92" s="38"/>
      <c r="H92" s="38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x14ac:dyDescent="0.2">
      <c r="B93" s="36"/>
      <c r="C93" s="37"/>
      <c r="D93" s="37"/>
      <c r="G93" s="38"/>
      <c r="H93" s="38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x14ac:dyDescent="0.2">
      <c r="B94" s="36"/>
      <c r="C94" s="37"/>
      <c r="D94" s="37"/>
      <c r="G94" s="38"/>
      <c r="H94" s="38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x14ac:dyDescent="0.2">
      <c r="B95" s="36"/>
      <c r="C95" s="37"/>
      <c r="D95" s="37"/>
      <c r="G95" s="38"/>
      <c r="H95" s="38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x14ac:dyDescent="0.2">
      <c r="B96" s="36"/>
      <c r="C96" s="37"/>
      <c r="D96" s="37"/>
      <c r="G96" s="38"/>
      <c r="H96" s="38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x14ac:dyDescent="0.2">
      <c r="B97" s="36"/>
      <c r="C97" s="37"/>
      <c r="D97" s="37"/>
      <c r="G97" s="38"/>
      <c r="H97" s="38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x14ac:dyDescent="0.2">
      <c r="B98" s="36"/>
      <c r="C98" s="37"/>
      <c r="D98" s="37"/>
      <c r="G98" s="38"/>
      <c r="H98" s="38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x14ac:dyDescent="0.2">
      <c r="B99" s="36"/>
      <c r="C99" s="37"/>
      <c r="D99" s="37"/>
      <c r="G99" s="38"/>
      <c r="H99" s="38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x14ac:dyDescent="0.2">
      <c r="B100" s="36"/>
      <c r="C100" s="37"/>
      <c r="D100" s="37"/>
      <c r="G100" s="38"/>
      <c r="H100" s="38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x14ac:dyDescent="0.2">
      <c r="B101" s="36"/>
      <c r="C101" s="37"/>
      <c r="D101" s="37"/>
      <c r="G101" s="38"/>
      <c r="H101" s="38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x14ac:dyDescent="0.2">
      <c r="B102" s="36"/>
      <c r="C102" s="37"/>
      <c r="D102" s="37"/>
      <c r="G102" s="38"/>
      <c r="H102" s="38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x14ac:dyDescent="0.2">
      <c r="B103" s="36"/>
      <c r="C103" s="37"/>
      <c r="D103" s="37"/>
      <c r="G103" s="38"/>
      <c r="H103" s="38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x14ac:dyDescent="0.2">
      <c r="B104" s="36"/>
      <c r="C104" s="37"/>
      <c r="D104" s="37"/>
      <c r="G104" s="38"/>
      <c r="H104" s="38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x14ac:dyDescent="0.2">
      <c r="B105" s="36"/>
      <c r="C105" s="37"/>
      <c r="D105" s="37"/>
      <c r="G105" s="38"/>
      <c r="H105" s="38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x14ac:dyDescent="0.2">
      <c r="B106" s="36"/>
      <c r="C106" s="37"/>
      <c r="D106" s="37"/>
      <c r="G106" s="38"/>
      <c r="H106" s="38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x14ac:dyDescent="0.2">
      <c r="B107" s="36"/>
      <c r="C107" s="37"/>
      <c r="D107" s="37"/>
      <c r="G107" s="38"/>
      <c r="H107" s="38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x14ac:dyDescent="0.2">
      <c r="B108" s="36"/>
      <c r="C108" s="37"/>
      <c r="D108" s="37"/>
      <c r="G108" s="38"/>
      <c r="H108" s="38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x14ac:dyDescent="0.2">
      <c r="B109" s="36"/>
      <c r="C109" s="37"/>
      <c r="D109" s="37"/>
      <c r="G109" s="38"/>
      <c r="H109" s="38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x14ac:dyDescent="0.2">
      <c r="B110" s="36"/>
      <c r="C110" s="37"/>
      <c r="D110" s="37"/>
      <c r="G110" s="38"/>
      <c r="H110" s="38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x14ac:dyDescent="0.2">
      <c r="B111" s="36"/>
      <c r="C111" s="37"/>
      <c r="D111" s="37"/>
      <c r="G111" s="38"/>
      <c r="H111" s="38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x14ac:dyDescent="0.2">
      <c r="B112" s="36"/>
      <c r="C112" s="37"/>
      <c r="D112" s="37"/>
      <c r="G112" s="38"/>
      <c r="H112" s="38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x14ac:dyDescent="0.2">
      <c r="B113" s="36"/>
      <c r="C113" s="37"/>
      <c r="D113" s="37"/>
      <c r="G113" s="38"/>
      <c r="H113" s="38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x14ac:dyDescent="0.2">
      <c r="B114" s="36"/>
      <c r="C114" s="37"/>
      <c r="D114" s="37"/>
      <c r="G114" s="38"/>
      <c r="H114" s="38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x14ac:dyDescent="0.2">
      <c r="B115" s="36"/>
      <c r="C115" s="37"/>
      <c r="D115" s="37"/>
      <c r="G115" s="38"/>
      <c r="H115" s="38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x14ac:dyDescent="0.2">
      <c r="B116" s="36"/>
      <c r="C116" s="37"/>
      <c r="D116" s="37"/>
      <c r="G116" s="38"/>
      <c r="H116" s="38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x14ac:dyDescent="0.2">
      <c r="B117" s="36"/>
      <c r="C117" s="37"/>
      <c r="D117" s="37"/>
      <c r="G117" s="38"/>
      <c r="H117" s="38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x14ac:dyDescent="0.2">
      <c r="B118" s="36"/>
      <c r="C118" s="37"/>
      <c r="D118" s="37"/>
      <c r="G118" s="38"/>
      <c r="H118" s="38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x14ac:dyDescent="0.2">
      <c r="B119" s="36"/>
      <c r="C119" s="37"/>
      <c r="D119" s="37"/>
      <c r="G119" s="38"/>
      <c r="H119" s="38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x14ac:dyDescent="0.2">
      <c r="B120" s="36"/>
      <c r="C120" s="37"/>
      <c r="D120" s="37"/>
      <c r="G120" s="38"/>
      <c r="H120" s="38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x14ac:dyDescent="0.2">
      <c r="B121" s="36"/>
      <c r="C121" s="37"/>
      <c r="D121" s="37"/>
      <c r="G121" s="38"/>
      <c r="H121" s="38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x14ac:dyDescent="0.2">
      <c r="B122" s="36"/>
      <c r="C122" s="37"/>
      <c r="D122" s="37"/>
      <c r="G122" s="38"/>
      <c r="H122" s="38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x14ac:dyDescent="0.2">
      <c r="B123" s="36"/>
      <c r="C123" s="37"/>
      <c r="D123" s="37"/>
      <c r="G123" s="38"/>
      <c r="H123" s="38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x14ac:dyDescent="0.2">
      <c r="B124" s="36"/>
      <c r="C124" s="37"/>
      <c r="D124" s="37"/>
      <c r="G124" s="38"/>
      <c r="H124" s="38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x14ac:dyDescent="0.2">
      <c r="B125" s="36"/>
      <c r="C125" s="37"/>
      <c r="D125" s="37"/>
      <c r="G125" s="38"/>
      <c r="H125" s="38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x14ac:dyDescent="0.2">
      <c r="B126" s="36"/>
      <c r="C126" s="37"/>
      <c r="D126" s="37"/>
      <c r="G126" s="38"/>
      <c r="H126" s="38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x14ac:dyDescent="0.2">
      <c r="B127" s="36"/>
      <c r="C127" s="37"/>
      <c r="D127" s="37"/>
      <c r="G127" s="38"/>
      <c r="H127" s="38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x14ac:dyDescent="0.2">
      <c r="B128" s="36"/>
      <c r="C128" s="37"/>
      <c r="D128" s="37"/>
      <c r="G128" s="38"/>
      <c r="H128" s="38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x14ac:dyDescent="0.2">
      <c r="B129" s="36"/>
      <c r="C129" s="37"/>
      <c r="D129" s="37"/>
      <c r="G129" s="38"/>
      <c r="H129" s="38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x14ac:dyDescent="0.2">
      <c r="B130" s="36"/>
      <c r="C130" s="37"/>
      <c r="D130" s="37"/>
      <c r="G130" s="38"/>
      <c r="H130" s="38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x14ac:dyDescent="0.2">
      <c r="B131" s="36"/>
      <c r="C131" s="37"/>
      <c r="D131" s="37"/>
      <c r="G131" s="38"/>
      <c r="H131" s="38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x14ac:dyDescent="0.2">
      <c r="B132" s="36"/>
      <c r="C132" s="37"/>
      <c r="D132" s="37"/>
      <c r="G132" s="38"/>
      <c r="H132" s="38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x14ac:dyDescent="0.2">
      <c r="B133" s="36"/>
      <c r="C133" s="37"/>
      <c r="D133" s="37"/>
      <c r="G133" s="38"/>
      <c r="H133" s="38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x14ac:dyDescent="0.2">
      <c r="B134" s="36"/>
      <c r="C134" s="37"/>
      <c r="D134" s="37"/>
      <c r="G134" s="38"/>
      <c r="H134" s="38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x14ac:dyDescent="0.2">
      <c r="B135" s="36"/>
      <c r="C135" s="37"/>
      <c r="D135" s="37"/>
      <c r="G135" s="38"/>
      <c r="H135" s="38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x14ac:dyDescent="0.2">
      <c r="B136" s="36"/>
      <c r="C136" s="37"/>
      <c r="D136" s="37"/>
      <c r="G136" s="38"/>
      <c r="H136" s="38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x14ac:dyDescent="0.2">
      <c r="B137" s="36"/>
      <c r="C137" s="37"/>
      <c r="D137" s="37"/>
      <c r="G137" s="38"/>
      <c r="H137" s="38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x14ac:dyDescent="0.2">
      <c r="B138" s="36"/>
      <c r="C138" s="37"/>
      <c r="D138" s="37"/>
      <c r="G138" s="38"/>
      <c r="H138" s="38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x14ac:dyDescent="0.2">
      <c r="B139" s="36"/>
      <c r="C139" s="37"/>
      <c r="D139" s="37"/>
      <c r="G139" s="38"/>
      <c r="H139" s="38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x14ac:dyDescent="0.2">
      <c r="B140" s="36"/>
      <c r="C140" s="37"/>
      <c r="D140" s="37"/>
      <c r="G140" s="38"/>
      <c r="H140" s="38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x14ac:dyDescent="0.2">
      <c r="B141" s="36"/>
      <c r="C141" s="37"/>
      <c r="D141" s="37"/>
      <c r="G141" s="38"/>
      <c r="H141" s="38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x14ac:dyDescent="0.2">
      <c r="B142" s="36"/>
      <c r="C142" s="37"/>
      <c r="D142" s="37"/>
      <c r="G142" s="38"/>
      <c r="H142" s="38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x14ac:dyDescent="0.2">
      <c r="B143" s="36"/>
      <c r="C143" s="37"/>
      <c r="D143" s="37"/>
      <c r="G143" s="38"/>
      <c r="H143" s="38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x14ac:dyDescent="0.2">
      <c r="B144" s="36"/>
      <c r="C144" s="37"/>
      <c r="D144" s="37"/>
      <c r="G144" s="38"/>
      <c r="H144" s="38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x14ac:dyDescent="0.2">
      <c r="B145" s="36"/>
      <c r="C145" s="37"/>
      <c r="D145" s="37"/>
      <c r="G145" s="38"/>
      <c r="H145" s="38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H24"/>
  <sheetViews>
    <sheetView zoomScale="116" workbookViewId="0">
      <selection activeCell="B24" sqref="B24"/>
    </sheetView>
  </sheetViews>
  <sheetFormatPr baseColWidth="10" defaultRowHeight="15" x14ac:dyDescent="0.2"/>
  <cols>
    <col min="1" max="1" width="16.5" bestFit="1" customWidth="1"/>
  </cols>
  <sheetData>
    <row r="1" spans="1:8" x14ac:dyDescent="0.2">
      <c r="A1" s="1" t="s">
        <v>0</v>
      </c>
      <c r="B1" s="1" t="s">
        <v>1</v>
      </c>
      <c r="C1" s="1" t="s">
        <v>57</v>
      </c>
      <c r="E1">
        <v>2024</v>
      </c>
      <c r="G1" s="33">
        <v>2013</v>
      </c>
      <c r="H1">
        <v>2021</v>
      </c>
    </row>
    <row r="2" spans="1:8" x14ac:dyDescent="0.2">
      <c r="A2" t="s">
        <v>20</v>
      </c>
      <c r="B2">
        <f>H2-1</f>
        <v>8</v>
      </c>
      <c r="C2">
        <v>1</v>
      </c>
      <c r="D2" t="str">
        <f>A2</f>
        <v>Østfold</v>
      </c>
      <c r="E2">
        <v>9</v>
      </c>
      <c r="G2">
        <v>8</v>
      </c>
      <c r="H2">
        <v>9</v>
      </c>
    </row>
    <row r="3" spans="1:8" x14ac:dyDescent="0.2">
      <c r="A3" t="s">
        <v>2</v>
      </c>
      <c r="B3">
        <f t="shared" ref="B3:B20" si="0">H3-1</f>
        <v>18</v>
      </c>
      <c r="C3">
        <v>1</v>
      </c>
      <c r="D3" t="str">
        <f t="shared" ref="D3:D20" si="1">A3</f>
        <v>Akershus</v>
      </c>
      <c r="E3">
        <v>20</v>
      </c>
      <c r="G3">
        <v>16</v>
      </c>
      <c r="H3">
        <v>19</v>
      </c>
    </row>
    <row r="4" spans="1:8" x14ac:dyDescent="0.2">
      <c r="A4" t="s">
        <v>3</v>
      </c>
      <c r="B4">
        <f t="shared" si="0"/>
        <v>19</v>
      </c>
      <c r="C4">
        <v>1</v>
      </c>
      <c r="D4" t="str">
        <f t="shared" si="1"/>
        <v>Oslo</v>
      </c>
      <c r="E4">
        <v>20</v>
      </c>
      <c r="G4">
        <v>18</v>
      </c>
      <c r="H4">
        <v>20</v>
      </c>
    </row>
    <row r="5" spans="1:8" x14ac:dyDescent="0.2">
      <c r="A5" t="s">
        <v>4</v>
      </c>
      <c r="B5">
        <f t="shared" si="0"/>
        <v>6</v>
      </c>
      <c r="C5">
        <v>1</v>
      </c>
      <c r="D5" t="str">
        <f t="shared" si="1"/>
        <v>Hedmark</v>
      </c>
      <c r="E5">
        <v>7</v>
      </c>
      <c r="G5">
        <v>6</v>
      </c>
      <c r="H5">
        <v>7</v>
      </c>
    </row>
    <row r="6" spans="1:8" x14ac:dyDescent="0.2">
      <c r="A6" t="s">
        <v>5</v>
      </c>
      <c r="B6">
        <f t="shared" si="0"/>
        <v>5</v>
      </c>
      <c r="C6">
        <v>1</v>
      </c>
      <c r="D6" t="str">
        <f t="shared" si="1"/>
        <v>Oppland</v>
      </c>
      <c r="E6">
        <v>6</v>
      </c>
      <c r="G6">
        <v>6</v>
      </c>
      <c r="H6">
        <v>6</v>
      </c>
    </row>
    <row r="7" spans="1:8" x14ac:dyDescent="0.2">
      <c r="A7" t="s">
        <v>6</v>
      </c>
      <c r="B7">
        <f t="shared" si="0"/>
        <v>7</v>
      </c>
      <c r="C7">
        <v>1</v>
      </c>
      <c r="D7" t="str">
        <f t="shared" si="1"/>
        <v>Buskerud</v>
      </c>
      <c r="E7">
        <v>8</v>
      </c>
      <c r="G7">
        <v>8</v>
      </c>
      <c r="H7">
        <v>8</v>
      </c>
    </row>
    <row r="8" spans="1:8" x14ac:dyDescent="0.2">
      <c r="A8" t="s">
        <v>7</v>
      </c>
      <c r="B8">
        <f t="shared" si="0"/>
        <v>6</v>
      </c>
      <c r="C8">
        <v>1</v>
      </c>
      <c r="D8" t="str">
        <f t="shared" si="1"/>
        <v>Vestfold</v>
      </c>
      <c r="E8">
        <v>7</v>
      </c>
      <c r="G8">
        <v>6</v>
      </c>
      <c r="H8">
        <v>7</v>
      </c>
    </row>
    <row r="9" spans="1:8" x14ac:dyDescent="0.2">
      <c r="A9" t="s">
        <v>8</v>
      </c>
      <c r="B9">
        <f t="shared" si="0"/>
        <v>5</v>
      </c>
      <c r="C9">
        <v>1</v>
      </c>
      <c r="D9" t="str">
        <f t="shared" si="1"/>
        <v>Telemark</v>
      </c>
      <c r="E9">
        <v>6</v>
      </c>
      <c r="G9">
        <v>5</v>
      </c>
      <c r="H9">
        <v>6</v>
      </c>
    </row>
    <row r="10" spans="1:8" x14ac:dyDescent="0.2">
      <c r="A10" t="s">
        <v>9</v>
      </c>
      <c r="B10">
        <f t="shared" si="0"/>
        <v>3</v>
      </c>
      <c r="C10">
        <v>1</v>
      </c>
      <c r="D10" t="str">
        <f t="shared" si="1"/>
        <v>Aust-Agder</v>
      </c>
      <c r="E10">
        <v>4</v>
      </c>
      <c r="G10">
        <v>3</v>
      </c>
      <c r="H10">
        <v>4</v>
      </c>
    </row>
    <row r="11" spans="1:8" x14ac:dyDescent="0.2">
      <c r="A11" t="s">
        <v>10</v>
      </c>
      <c r="B11">
        <f t="shared" si="0"/>
        <v>5</v>
      </c>
      <c r="C11">
        <v>1</v>
      </c>
      <c r="D11" t="str">
        <f t="shared" si="1"/>
        <v>Vest-Agder</v>
      </c>
      <c r="E11">
        <v>6</v>
      </c>
      <c r="G11">
        <v>5</v>
      </c>
      <c r="H11">
        <v>6</v>
      </c>
    </row>
    <row r="12" spans="1:8" x14ac:dyDescent="0.2">
      <c r="A12" t="s">
        <v>11</v>
      </c>
      <c r="B12">
        <f t="shared" si="0"/>
        <v>13</v>
      </c>
      <c r="C12">
        <v>1</v>
      </c>
      <c r="D12" t="str">
        <f t="shared" si="1"/>
        <v>Rogaland</v>
      </c>
      <c r="E12">
        <v>14</v>
      </c>
      <c r="G12">
        <v>13</v>
      </c>
      <c r="H12">
        <v>14</v>
      </c>
    </row>
    <row r="13" spans="1:8" x14ac:dyDescent="0.2">
      <c r="A13" t="s">
        <v>12</v>
      </c>
      <c r="B13">
        <f t="shared" si="0"/>
        <v>15</v>
      </c>
      <c r="C13">
        <v>1</v>
      </c>
      <c r="D13" t="str">
        <f t="shared" si="1"/>
        <v>Hordaland</v>
      </c>
      <c r="E13">
        <v>16</v>
      </c>
      <c r="G13">
        <v>15</v>
      </c>
      <c r="H13">
        <v>16</v>
      </c>
    </row>
    <row r="14" spans="1:8" x14ac:dyDescent="0.2">
      <c r="A14" t="s">
        <v>13</v>
      </c>
      <c r="B14">
        <f t="shared" si="0"/>
        <v>3</v>
      </c>
      <c r="C14">
        <v>1</v>
      </c>
      <c r="D14" t="str">
        <f t="shared" si="1"/>
        <v>Sogn og Fjordane</v>
      </c>
      <c r="E14">
        <v>4</v>
      </c>
      <c r="G14">
        <v>3</v>
      </c>
      <c r="H14">
        <v>4</v>
      </c>
    </row>
    <row r="15" spans="1:8" x14ac:dyDescent="0.2">
      <c r="A15" t="s">
        <v>14</v>
      </c>
      <c r="B15">
        <f t="shared" si="0"/>
        <v>7</v>
      </c>
      <c r="C15">
        <v>1</v>
      </c>
      <c r="D15" t="str">
        <f t="shared" si="1"/>
        <v>Møre og Romsdal</v>
      </c>
      <c r="E15">
        <v>8</v>
      </c>
      <c r="G15">
        <v>8</v>
      </c>
      <c r="H15">
        <v>8</v>
      </c>
    </row>
    <row r="16" spans="1:8" x14ac:dyDescent="0.2">
      <c r="A16" t="s">
        <v>15</v>
      </c>
      <c r="B16">
        <f t="shared" si="0"/>
        <v>9</v>
      </c>
      <c r="C16">
        <v>1</v>
      </c>
      <c r="D16" t="str">
        <f t="shared" si="1"/>
        <v>Sør-Trøndelag</v>
      </c>
      <c r="E16">
        <v>10</v>
      </c>
      <c r="G16">
        <v>9</v>
      </c>
      <c r="H16">
        <v>10</v>
      </c>
    </row>
    <row r="17" spans="1:8" x14ac:dyDescent="0.2">
      <c r="A17" t="s">
        <v>16</v>
      </c>
      <c r="B17">
        <f t="shared" si="0"/>
        <v>4</v>
      </c>
      <c r="C17">
        <v>1</v>
      </c>
      <c r="D17" t="str">
        <f t="shared" si="1"/>
        <v>Nord-Trøndelag</v>
      </c>
      <c r="E17">
        <v>5</v>
      </c>
      <c r="G17">
        <v>4</v>
      </c>
      <c r="H17">
        <v>5</v>
      </c>
    </row>
    <row r="18" spans="1:8" x14ac:dyDescent="0.2">
      <c r="A18" t="s">
        <v>17</v>
      </c>
      <c r="B18">
        <f t="shared" si="0"/>
        <v>8</v>
      </c>
      <c r="C18">
        <v>1</v>
      </c>
      <c r="D18" t="str">
        <f t="shared" si="1"/>
        <v>Nordland</v>
      </c>
      <c r="E18">
        <v>9</v>
      </c>
      <c r="G18">
        <v>8</v>
      </c>
      <c r="H18">
        <v>9</v>
      </c>
    </row>
    <row r="19" spans="1:8" x14ac:dyDescent="0.2">
      <c r="A19" t="s">
        <v>18</v>
      </c>
      <c r="B19">
        <f t="shared" si="0"/>
        <v>5</v>
      </c>
      <c r="C19">
        <v>1</v>
      </c>
      <c r="D19" t="str">
        <f t="shared" si="1"/>
        <v>Troms</v>
      </c>
      <c r="E19">
        <v>6</v>
      </c>
      <c r="G19">
        <v>5</v>
      </c>
      <c r="H19">
        <v>6</v>
      </c>
    </row>
    <row r="20" spans="1:8" x14ac:dyDescent="0.2">
      <c r="A20" t="s">
        <v>19</v>
      </c>
      <c r="B20">
        <f t="shared" si="0"/>
        <v>4</v>
      </c>
      <c r="C20">
        <v>1</v>
      </c>
      <c r="D20" t="str">
        <f t="shared" si="1"/>
        <v>Finnmark</v>
      </c>
      <c r="E20">
        <v>4</v>
      </c>
      <c r="G20">
        <v>4</v>
      </c>
      <c r="H20">
        <v>5</v>
      </c>
    </row>
    <row r="24" spans="1:8" x14ac:dyDescent="0.2">
      <c r="B24">
        <f>4/19</f>
        <v>0.21052631578947367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C71"/>
  <sheetViews>
    <sheetView topLeftCell="A2" workbookViewId="0">
      <selection activeCell="W3" sqref="W3:W21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 x14ac:dyDescent="0.25">
      <c r="C1" s="97" t="s">
        <v>22</v>
      </c>
      <c r="D1" s="98"/>
      <c r="E1" s="98"/>
      <c r="F1" s="98"/>
      <c r="G1" s="98"/>
      <c r="H1" s="98"/>
      <c r="I1" s="98"/>
      <c r="J1" s="98"/>
      <c r="K1" s="99"/>
      <c r="L1" s="97">
        <v>2017</v>
      </c>
      <c r="M1" s="98"/>
      <c r="N1" s="98"/>
      <c r="O1" s="98"/>
      <c r="P1" s="98"/>
      <c r="Q1" s="98"/>
      <c r="R1" s="98"/>
      <c r="S1" s="98"/>
      <c r="T1" s="99"/>
      <c r="U1" s="97">
        <v>2021</v>
      </c>
      <c r="V1" s="98"/>
      <c r="W1" s="98"/>
      <c r="X1" s="98"/>
      <c r="Y1" s="98"/>
      <c r="Z1" s="98"/>
      <c r="AA1" s="98"/>
      <c r="AB1" s="98"/>
      <c r="AC1" s="99"/>
    </row>
    <row r="2" spans="1:29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 x14ac:dyDescent="0.2">
      <c r="A3" s="3" t="s">
        <v>56</v>
      </c>
      <c r="B3" s="4" t="s">
        <v>35</v>
      </c>
      <c r="C3" s="10">
        <f t="shared" ref="C3:AC3" si="0">C30/SUM(C$30:C$48)</f>
        <v>6.2988738744488723E-2</v>
      </c>
      <c r="D3" s="74">
        <f t="shared" si="0"/>
        <v>5.9245426785271046E-2</v>
      </c>
      <c r="E3" s="11">
        <f t="shared" si="0"/>
        <v>4.9745107983323343E-2</v>
      </c>
      <c r="F3" s="11">
        <f t="shared" si="0"/>
        <v>4.7766092603049128E-2</v>
      </c>
      <c r="G3" s="11">
        <f t="shared" si="0"/>
        <v>4.0647020323510162E-2</v>
      </c>
      <c r="H3" s="11">
        <f t="shared" si="0"/>
        <v>5.2635686967381204E-2</v>
      </c>
      <c r="I3" s="11">
        <f t="shared" si="0"/>
        <v>5.6702757835125482E-2</v>
      </c>
      <c r="J3" s="11">
        <f t="shared" si="0"/>
        <v>4.3145972823298823E-2</v>
      </c>
      <c r="K3" s="12">
        <f t="shared" si="0"/>
        <v>3.4715097538436913E-2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74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12">
        <f t="shared" si="0"/>
        <v>3.4715097538436913E-2</v>
      </c>
    </row>
    <row r="4" spans="1:29" x14ac:dyDescent="0.2">
      <c r="B4" s="4" t="s">
        <v>36</v>
      </c>
      <c r="C4" s="10">
        <f t="shared" ref="C4:AC4" si="1">C31/SUM(C$30:C$48)</f>
        <v>0.12204459058915437</v>
      </c>
      <c r="D4" s="88">
        <f t="shared" si="1"/>
        <v>0.11192470430681667</v>
      </c>
      <c r="E4" s="11">
        <f t="shared" si="1"/>
        <v>0.16702836743968544</v>
      </c>
      <c r="F4" s="11">
        <f t="shared" si="1"/>
        <v>6.6876058723884815E-2</v>
      </c>
      <c r="G4" s="11">
        <f t="shared" si="1"/>
        <v>0.14841857420928711</v>
      </c>
      <c r="H4" s="11">
        <f t="shared" si="1"/>
        <v>0.10339811680893488</v>
      </c>
      <c r="I4" s="11">
        <f t="shared" si="1"/>
        <v>8.0861423313918712E-2</v>
      </c>
      <c r="J4" s="11">
        <f t="shared" si="1"/>
        <v>0.11067117419309577</v>
      </c>
      <c r="K4" s="12">
        <f t="shared" si="1"/>
        <v>0.18476639526169114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74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12">
        <f t="shared" si="1"/>
        <v>0.18476639526169114</v>
      </c>
    </row>
    <row r="5" spans="1:29" x14ac:dyDescent="0.2">
      <c r="B5" s="4" t="s">
        <v>37</v>
      </c>
      <c r="C5" s="10">
        <f t="shared" ref="C5:AC5" si="2">C32/SUM(C$30:C$48)</f>
        <v>0.11125691542186945</v>
      </c>
      <c r="D5" s="11">
        <f t="shared" si="2"/>
        <v>6.5759624098777975E-2</v>
      </c>
      <c r="E5" s="11">
        <f t="shared" si="2"/>
        <v>0.14710957722174289</v>
      </c>
      <c r="F5" s="11">
        <f t="shared" si="2"/>
        <v>6.1070722755505367E-2</v>
      </c>
      <c r="G5" s="11">
        <f t="shared" si="2"/>
        <v>0.27368313684156842</v>
      </c>
      <c r="H5" s="11">
        <f t="shared" si="2"/>
        <v>0.22246347503388184</v>
      </c>
      <c r="I5" s="11">
        <f t="shared" si="2"/>
        <v>2.9662920232975398E-2</v>
      </c>
      <c r="J5" s="11">
        <f t="shared" si="2"/>
        <v>0.22091264255929283</v>
      </c>
      <c r="K5" s="12">
        <f t="shared" si="2"/>
        <v>0.27753159721464277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74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12">
        <f t="shared" si="2"/>
        <v>0.27753159721464277</v>
      </c>
    </row>
    <row r="6" spans="1:29" x14ac:dyDescent="0.2">
      <c r="B6" s="4" t="s">
        <v>38</v>
      </c>
      <c r="C6" s="10">
        <f t="shared" ref="C6:AC6" si="3">C33/SUM(C$30:C$48)</f>
        <v>4.8680485170935699E-2</v>
      </c>
      <c r="D6" s="11">
        <f t="shared" si="3"/>
        <v>2.7984783851024896E-2</v>
      </c>
      <c r="E6" s="11">
        <f t="shared" si="3"/>
        <v>2.0073569607914166E-2</v>
      </c>
      <c r="F6" s="11">
        <f t="shared" si="3"/>
        <v>1.6551383399209488E-2</v>
      </c>
      <c r="G6" s="11">
        <f t="shared" si="3"/>
        <v>2.0247010123505063E-2</v>
      </c>
      <c r="H6" s="11">
        <f t="shared" si="3"/>
        <v>2.7502820529195136E-2</v>
      </c>
      <c r="I6" s="11">
        <f t="shared" si="3"/>
        <v>8.0121897652626436E-2</v>
      </c>
      <c r="J6" s="11">
        <f t="shared" si="3"/>
        <v>3.4648320858710092E-2</v>
      </c>
      <c r="K6" s="12">
        <f t="shared" si="3"/>
        <v>1.9223912742936559E-2</v>
      </c>
      <c r="L6" s="10">
        <f t="shared" si="3"/>
        <v>5.0641303357150974E-2</v>
      </c>
      <c r="M6" s="11">
        <f t="shared" si="3"/>
        <v>3.0079989925362226E-2</v>
      </c>
      <c r="N6" s="11">
        <f t="shared" si="3"/>
        <v>2.3815144052012908E-2</v>
      </c>
      <c r="O6" s="11">
        <f t="shared" si="3"/>
        <v>1.6702362435564388E-2</v>
      </c>
      <c r="P6" s="11">
        <f t="shared" si="3"/>
        <v>2.3367936869645948E-2</v>
      </c>
      <c r="Q6" s="11">
        <f t="shared" si="3"/>
        <v>2.0461699895068207E-2</v>
      </c>
      <c r="R6" s="11">
        <f t="shared" si="3"/>
        <v>8.3756874613018478E-2</v>
      </c>
      <c r="S6" s="11">
        <f t="shared" si="3"/>
        <v>3.7044182905653096E-2</v>
      </c>
      <c r="T6" s="12">
        <f t="shared" si="3"/>
        <v>2.0788054100539442E-2</v>
      </c>
      <c r="U6" s="10">
        <f t="shared" si="3"/>
        <v>4.8680485170935699E-2</v>
      </c>
      <c r="V6" s="11">
        <f t="shared" si="3"/>
        <v>2.7984783851024896E-2</v>
      </c>
      <c r="W6" s="74">
        <f t="shared" si="3"/>
        <v>2.0073569607914166E-2</v>
      </c>
      <c r="X6" s="11">
        <f t="shared" si="3"/>
        <v>1.6551383399209488E-2</v>
      </c>
      <c r="Y6" s="11">
        <f t="shared" si="3"/>
        <v>2.0247010123505063E-2</v>
      </c>
      <c r="Z6" s="11">
        <f t="shared" si="3"/>
        <v>2.7502820529195136E-2</v>
      </c>
      <c r="AA6" s="11">
        <f t="shared" si="3"/>
        <v>8.0121897652626436E-2</v>
      </c>
      <c r="AB6" s="11">
        <f t="shared" si="3"/>
        <v>3.4648320858710092E-2</v>
      </c>
      <c r="AC6" s="12">
        <f t="shared" si="3"/>
        <v>1.9223912742936559E-2</v>
      </c>
    </row>
    <row r="7" spans="1:29" x14ac:dyDescent="0.2">
      <c r="B7" s="4" t="s">
        <v>39</v>
      </c>
      <c r="C7" s="10">
        <f t="shared" ref="C7:AC7" si="4">C34/SUM(C$30:C$48)</f>
        <v>4.4105520338424853E-2</v>
      </c>
      <c r="D7" s="11">
        <f t="shared" si="4"/>
        <v>2.4414530383232221E-2</v>
      </c>
      <c r="E7" s="11">
        <f t="shared" si="4"/>
        <v>2.0290919389576431E-2</v>
      </c>
      <c r="F7" s="11">
        <f t="shared" si="4"/>
        <v>1.356048842461886E-2</v>
      </c>
      <c r="G7" s="11">
        <f t="shared" si="4"/>
        <v>1.9456509728254863E-2</v>
      </c>
      <c r="H7" s="11">
        <f t="shared" si="4"/>
        <v>2.5076101070736743E-2</v>
      </c>
      <c r="I7" s="11">
        <f t="shared" si="4"/>
        <v>6.357687220351349E-2</v>
      </c>
      <c r="J7" s="11">
        <f t="shared" si="4"/>
        <v>2.4151221373041661E-2</v>
      </c>
      <c r="K7" s="12">
        <f t="shared" si="4"/>
        <v>1.7244766540787146E-2</v>
      </c>
      <c r="L7" s="10">
        <f t="shared" si="4"/>
        <v>4.7513755591818183E-2</v>
      </c>
      <c r="M7" s="11">
        <f t="shared" si="4"/>
        <v>2.9875348845576941E-2</v>
      </c>
      <c r="N7" s="11">
        <f t="shared" si="4"/>
        <v>2.4782540473055486E-2</v>
      </c>
      <c r="O7" s="11">
        <f t="shared" si="4"/>
        <v>1.8575372362516999E-2</v>
      </c>
      <c r="P7" s="11">
        <f t="shared" si="4"/>
        <v>2.6902139511330549E-2</v>
      </c>
      <c r="Q7" s="11">
        <f t="shared" si="4"/>
        <v>2.5850089333824905E-2</v>
      </c>
      <c r="R7" s="11">
        <f t="shared" si="4"/>
        <v>7.6121542827059407E-2</v>
      </c>
      <c r="S7" s="11">
        <f t="shared" si="4"/>
        <v>2.8532192348287955E-2</v>
      </c>
      <c r="T7" s="12">
        <f t="shared" si="4"/>
        <v>2.1702759752951294E-2</v>
      </c>
      <c r="U7" s="10">
        <f t="shared" si="4"/>
        <v>4.4105520338424853E-2</v>
      </c>
      <c r="V7" s="11">
        <f t="shared" si="4"/>
        <v>2.4414530383232221E-2</v>
      </c>
      <c r="W7" s="74">
        <f t="shared" si="4"/>
        <v>2.0290919389576431E-2</v>
      </c>
      <c r="X7" s="11">
        <f t="shared" si="4"/>
        <v>1.356048842461886E-2</v>
      </c>
      <c r="Y7" s="11">
        <f t="shared" si="4"/>
        <v>1.9456509728254863E-2</v>
      </c>
      <c r="Z7" s="11">
        <f t="shared" si="4"/>
        <v>2.5076101070736743E-2</v>
      </c>
      <c r="AA7" s="11">
        <f t="shared" si="4"/>
        <v>6.357687220351349E-2</v>
      </c>
      <c r="AB7" s="11">
        <f t="shared" si="4"/>
        <v>2.4151221373041661E-2</v>
      </c>
      <c r="AC7" s="12">
        <f t="shared" si="4"/>
        <v>1.7244766540787146E-2</v>
      </c>
    </row>
    <row r="8" spans="1:29" x14ac:dyDescent="0.2">
      <c r="B8" s="4" t="s">
        <v>40</v>
      </c>
      <c r="C8" s="10">
        <f t="shared" ref="C8:AC8" si="5">C35/SUM(C$30:C$48)</f>
        <v>5.1793861071185124E-2</v>
      </c>
      <c r="D8" s="11">
        <f t="shared" si="5"/>
        <v>5.0534816465304756E-2</v>
      </c>
      <c r="E8" s="11">
        <f t="shared" si="5"/>
        <v>5.1940011460261212E-2</v>
      </c>
      <c r="F8" s="11">
        <f t="shared" si="5"/>
        <v>2.9282538114059852E-2</v>
      </c>
      <c r="G8" s="11">
        <f t="shared" si="5"/>
        <v>3.6133518066759032E-2</v>
      </c>
      <c r="H8" s="11">
        <f t="shared" si="5"/>
        <v>3.505971007088575E-2</v>
      </c>
      <c r="I8" s="11">
        <f t="shared" si="5"/>
        <v>5.7246234747283235E-2</v>
      </c>
      <c r="J8" s="11">
        <f t="shared" si="5"/>
        <v>3.5349881392422268E-2</v>
      </c>
      <c r="K8" s="12">
        <f t="shared" si="5"/>
        <v>3.7887552480117583E-2</v>
      </c>
      <c r="L8" s="10">
        <f t="shared" si="5"/>
        <v>5.386498732125846E-2</v>
      </c>
      <c r="M8" s="11">
        <f t="shared" si="5"/>
        <v>5.9411128426894784E-2</v>
      </c>
      <c r="N8" s="11">
        <f t="shared" si="5"/>
        <v>5.5957538255821095E-2</v>
      </c>
      <c r="O8" s="11">
        <f t="shared" si="5"/>
        <v>3.2533368079024731E-2</v>
      </c>
      <c r="P8" s="11">
        <f t="shared" si="5"/>
        <v>4.3381018694349495E-2</v>
      </c>
      <c r="Q8" s="11">
        <f t="shared" si="5"/>
        <v>3.2046737188395111E-2</v>
      </c>
      <c r="R8" s="11">
        <f t="shared" si="5"/>
        <v>5.4453888357277901E-2</v>
      </c>
      <c r="S8" s="11">
        <f t="shared" si="5"/>
        <v>4.336575455958961E-2</v>
      </c>
      <c r="T8" s="12">
        <f t="shared" si="5"/>
        <v>4.3812055351418966E-2</v>
      </c>
      <c r="U8" s="10">
        <f t="shared" si="5"/>
        <v>5.1793861071185124E-2</v>
      </c>
      <c r="V8" s="11">
        <f t="shared" si="5"/>
        <v>5.0534816465304756E-2</v>
      </c>
      <c r="W8" s="74">
        <f t="shared" si="5"/>
        <v>5.1940011460261212E-2</v>
      </c>
      <c r="X8" s="11">
        <f t="shared" si="5"/>
        <v>2.9282538114059852E-2</v>
      </c>
      <c r="Y8" s="11">
        <f t="shared" si="5"/>
        <v>3.6133518066759032E-2</v>
      </c>
      <c r="Z8" s="11">
        <f t="shared" si="5"/>
        <v>3.505971007088575E-2</v>
      </c>
      <c r="AA8" s="11">
        <f t="shared" si="5"/>
        <v>5.7246234747283235E-2</v>
      </c>
      <c r="AB8" s="11">
        <f t="shared" si="5"/>
        <v>3.5349881392422268E-2</v>
      </c>
      <c r="AC8" s="12">
        <f t="shared" si="5"/>
        <v>3.7887552480117583E-2</v>
      </c>
    </row>
    <row r="9" spans="1:29" x14ac:dyDescent="0.2">
      <c r="B9" s="4" t="s">
        <v>41</v>
      </c>
      <c r="C9" s="10">
        <f t="shared" ref="C9:AC9" si="6">C36/SUM(C$30:C$48)</f>
        <v>4.7891610096579752E-2</v>
      </c>
      <c r="D9" s="11">
        <f t="shared" si="6"/>
        <v>4.9847896234638096E-2</v>
      </c>
      <c r="E9" s="11">
        <f t="shared" si="6"/>
        <v>5.7352350341502614E-2</v>
      </c>
      <c r="F9" s="11">
        <f t="shared" si="6"/>
        <v>4.2887140033879168E-2</v>
      </c>
      <c r="G9" s="11">
        <f t="shared" si="6"/>
        <v>4.6138023069011533E-2</v>
      </c>
      <c r="H9" s="11">
        <f t="shared" si="6"/>
        <v>4.3673854581319935E-2</v>
      </c>
      <c r="I9" s="11">
        <f t="shared" si="6"/>
        <v>3.4184449611749025E-2</v>
      </c>
      <c r="J9" s="11">
        <f t="shared" si="6"/>
        <v>3.8015811420528539E-2</v>
      </c>
      <c r="K9" s="12">
        <f t="shared" si="6"/>
        <v>4.1991370340456802E-2</v>
      </c>
      <c r="L9" s="10">
        <f t="shared" si="6"/>
        <v>4.8839686021671845E-2</v>
      </c>
      <c r="M9" s="11">
        <f t="shared" si="6"/>
        <v>5.3134719045787877E-2</v>
      </c>
      <c r="N9" s="11">
        <f t="shared" si="6"/>
        <v>5.755121811446387E-2</v>
      </c>
      <c r="O9" s="11">
        <f t="shared" si="6"/>
        <v>4.2012427013689256E-2</v>
      </c>
      <c r="P9" s="11">
        <f t="shared" si="6"/>
        <v>4.3328269401190021E-2</v>
      </c>
      <c r="Q9" s="11">
        <f t="shared" si="6"/>
        <v>3.6896287683276144E-2</v>
      </c>
      <c r="R9" s="11">
        <f t="shared" si="6"/>
        <v>2.9061278007529376E-2</v>
      </c>
      <c r="S9" s="11">
        <f t="shared" si="6"/>
        <v>3.9308372393912223E-2</v>
      </c>
      <c r="T9" s="12">
        <f t="shared" si="6"/>
        <v>4.2006098037682744E-2</v>
      </c>
      <c r="U9" s="10">
        <f t="shared" si="6"/>
        <v>4.7891610096579752E-2</v>
      </c>
      <c r="V9" s="11">
        <f t="shared" si="6"/>
        <v>4.9847896234638096E-2</v>
      </c>
      <c r="W9" s="74">
        <f t="shared" si="6"/>
        <v>5.7352350341502614E-2</v>
      </c>
      <c r="X9" s="11">
        <f t="shared" si="6"/>
        <v>4.2887140033879168E-2</v>
      </c>
      <c r="Y9" s="11">
        <f t="shared" si="6"/>
        <v>4.6138023069011533E-2</v>
      </c>
      <c r="Z9" s="11">
        <f t="shared" si="6"/>
        <v>4.3673854581319935E-2</v>
      </c>
      <c r="AA9" s="11">
        <f t="shared" si="6"/>
        <v>3.4184449611749025E-2</v>
      </c>
      <c r="AB9" s="11">
        <f t="shared" si="6"/>
        <v>3.8015811420528539E-2</v>
      </c>
      <c r="AC9" s="12">
        <f t="shared" si="6"/>
        <v>4.1991370340456802E-2</v>
      </c>
    </row>
    <row r="10" spans="1:29" x14ac:dyDescent="0.2">
      <c r="B10" s="4" t="s">
        <v>42</v>
      </c>
      <c r="C10" s="10">
        <f t="shared" ref="C10:AC10" si="7">C37/SUM(C$30:C$48)</f>
        <v>3.8145556386696859E-2</v>
      </c>
      <c r="D10" s="11">
        <f t="shared" si="7"/>
        <v>3.5491840657596238E-2</v>
      </c>
      <c r="E10" s="11">
        <f t="shared" si="7"/>
        <v>2.5024863497750759E-2</v>
      </c>
      <c r="F10" s="11">
        <f t="shared" si="7"/>
        <v>3.817581874647092E-2</v>
      </c>
      <c r="G10" s="11">
        <f t="shared" si="7"/>
        <v>2.3196511598255799E-2</v>
      </c>
      <c r="H10" s="11">
        <f t="shared" si="7"/>
        <v>3.1973093215829022E-2</v>
      </c>
      <c r="I10" s="11">
        <f t="shared" si="7"/>
        <v>3.961425547385479E-2</v>
      </c>
      <c r="J10" s="11">
        <f t="shared" si="7"/>
        <v>2.6019126294050329E-2</v>
      </c>
      <c r="K10" s="12">
        <f t="shared" si="7"/>
        <v>1.6029628982849826E-2</v>
      </c>
      <c r="L10" s="10">
        <f t="shared" si="7"/>
        <v>3.8618035900003372E-2</v>
      </c>
      <c r="M10" s="11">
        <f t="shared" si="7"/>
        <v>3.6010083632986342E-2</v>
      </c>
      <c r="N10" s="11">
        <f t="shared" si="7"/>
        <v>2.6531767852147989E-2</v>
      </c>
      <c r="O10" s="11">
        <f t="shared" si="7"/>
        <v>3.9292490858897203E-2</v>
      </c>
      <c r="P10" s="11">
        <f t="shared" si="7"/>
        <v>2.5235261847491242E-2</v>
      </c>
      <c r="Q10" s="11">
        <f t="shared" si="7"/>
        <v>2.894132327500638E-2</v>
      </c>
      <c r="R10" s="11">
        <f t="shared" si="7"/>
        <v>4.1246022574888165E-2</v>
      </c>
      <c r="S10" s="11">
        <f t="shared" si="7"/>
        <v>2.7238369783568455E-2</v>
      </c>
      <c r="T10" s="12">
        <f t="shared" si="7"/>
        <v>2.0256430302556486E-2</v>
      </c>
      <c r="U10" s="10">
        <f t="shared" si="7"/>
        <v>3.8145556386696859E-2</v>
      </c>
      <c r="V10" s="11">
        <f t="shared" si="7"/>
        <v>3.5491840657596238E-2</v>
      </c>
      <c r="W10" s="74">
        <f t="shared" si="7"/>
        <v>2.5024863497750759E-2</v>
      </c>
      <c r="X10" s="11">
        <f t="shared" si="7"/>
        <v>3.817581874647092E-2</v>
      </c>
      <c r="Y10" s="11">
        <f t="shared" si="7"/>
        <v>2.3196511598255799E-2</v>
      </c>
      <c r="Z10" s="11">
        <f t="shared" si="7"/>
        <v>3.1973093215829022E-2</v>
      </c>
      <c r="AA10" s="11">
        <f t="shared" si="7"/>
        <v>3.961425547385479E-2</v>
      </c>
      <c r="AB10" s="11">
        <f t="shared" si="7"/>
        <v>2.6019126294050329E-2</v>
      </c>
      <c r="AC10" s="12">
        <f t="shared" si="7"/>
        <v>1.6029628982849826E-2</v>
      </c>
    </row>
    <row r="11" spans="1:29" x14ac:dyDescent="0.2">
      <c r="B11" s="4" t="s">
        <v>43</v>
      </c>
      <c r="C11" s="10">
        <f t="shared" ref="C11:AC11" si="8">C38/SUM(C$30:C$48)</f>
        <v>2.0611595187096148E-2</v>
      </c>
      <c r="D11" s="11">
        <f t="shared" si="8"/>
        <v>2.5190923417052938E-2</v>
      </c>
      <c r="E11" s="11">
        <f t="shared" si="8"/>
        <v>2.1907870038003281E-2</v>
      </c>
      <c r="F11" s="11">
        <f t="shared" si="8"/>
        <v>5.0721696781479392E-2</v>
      </c>
      <c r="G11" s="11">
        <f t="shared" si="8"/>
        <v>1.67960083980042E-2</v>
      </c>
      <c r="H11" s="11">
        <f t="shared" si="8"/>
        <v>1.7426967806940984E-2</v>
      </c>
      <c r="I11" s="11">
        <f t="shared" si="8"/>
        <v>2.210387605748447E-2</v>
      </c>
      <c r="J11" s="11">
        <f t="shared" si="8"/>
        <v>1.597804115529481E-2</v>
      </c>
      <c r="K11" s="12">
        <f t="shared" si="8"/>
        <v>1.5542118705114492E-2</v>
      </c>
      <c r="L11" s="10">
        <f t="shared" si="8"/>
        <v>2.0576892103971924E-2</v>
      </c>
      <c r="M11" s="11">
        <f t="shared" si="8"/>
        <v>2.5175350419739093E-2</v>
      </c>
      <c r="N11" s="11">
        <f t="shared" si="8"/>
        <v>2.2669004427646525E-2</v>
      </c>
      <c r="O11" s="11">
        <f t="shared" si="8"/>
        <v>5.1727648069578247E-2</v>
      </c>
      <c r="P11" s="11">
        <f t="shared" si="8"/>
        <v>1.7681563067054901E-2</v>
      </c>
      <c r="Q11" s="11">
        <f t="shared" si="8"/>
        <v>1.144323757125436E-2</v>
      </c>
      <c r="R11" s="11">
        <f t="shared" si="8"/>
        <v>1.7830122145442145E-2</v>
      </c>
      <c r="S11" s="11">
        <f t="shared" si="8"/>
        <v>1.4538479871979662E-2</v>
      </c>
      <c r="T11" s="12">
        <f t="shared" si="8"/>
        <v>1.6581971698850756E-2</v>
      </c>
      <c r="U11" s="10">
        <f t="shared" si="8"/>
        <v>2.0611595187096148E-2</v>
      </c>
      <c r="V11" s="11">
        <f t="shared" si="8"/>
        <v>2.5190923417052938E-2</v>
      </c>
      <c r="W11" s="74">
        <f t="shared" si="8"/>
        <v>2.1907870038003281E-2</v>
      </c>
      <c r="X11" s="11">
        <f t="shared" si="8"/>
        <v>5.0721696781479392E-2</v>
      </c>
      <c r="Y11" s="11">
        <f t="shared" si="8"/>
        <v>1.67960083980042E-2</v>
      </c>
      <c r="Z11" s="11">
        <f t="shared" si="8"/>
        <v>1.7426967806940984E-2</v>
      </c>
      <c r="AA11" s="11">
        <f t="shared" si="8"/>
        <v>2.210387605748447E-2</v>
      </c>
      <c r="AB11" s="11">
        <f t="shared" si="8"/>
        <v>1.597804115529481E-2</v>
      </c>
      <c r="AC11" s="12">
        <f t="shared" si="8"/>
        <v>1.5542118705114492E-2</v>
      </c>
    </row>
    <row r="12" spans="1:29" x14ac:dyDescent="0.2">
      <c r="B12" s="4" t="s">
        <v>44</v>
      </c>
      <c r="C12" s="10">
        <f t="shared" ref="C12:AC12" si="9">C39/SUM(C$30:C$48)</f>
        <v>2.7885074432533311E-2</v>
      </c>
      <c r="D12" s="11">
        <f t="shared" si="9"/>
        <v>3.9890439109428126E-2</v>
      </c>
      <c r="E12" s="11">
        <f t="shared" si="9"/>
        <v>3.6816089152928624E-2</v>
      </c>
      <c r="F12" s="11">
        <f t="shared" si="9"/>
        <v>0.12879376058723885</v>
      </c>
      <c r="G12" s="11">
        <f t="shared" si="9"/>
        <v>2.8305014152507076E-2</v>
      </c>
      <c r="H12" s="11">
        <f t="shared" si="9"/>
        <v>2.3805975974058226E-2</v>
      </c>
      <c r="I12" s="11">
        <f t="shared" si="9"/>
        <v>2.6948017301922519E-2</v>
      </c>
      <c r="J12" s="11">
        <f t="shared" si="9"/>
        <v>2.4620389979961677E-2</v>
      </c>
      <c r="K12" s="12">
        <f t="shared" si="9"/>
        <v>2.7897229922944272E-2</v>
      </c>
      <c r="L12" s="10">
        <f t="shared" si="9"/>
        <v>2.6516111552949195E-2</v>
      </c>
      <c r="M12" s="11">
        <f t="shared" si="9"/>
        <v>3.8868312340756633E-2</v>
      </c>
      <c r="N12" s="11">
        <f t="shared" si="9"/>
        <v>3.8403864127876434E-2</v>
      </c>
      <c r="O12" s="11">
        <f t="shared" si="9"/>
        <v>0.10380546756028242</v>
      </c>
      <c r="P12" s="11">
        <f t="shared" si="9"/>
        <v>3.0710638477444402E-2</v>
      </c>
      <c r="Q12" s="11">
        <f t="shared" si="9"/>
        <v>1.9511641757182157E-2</v>
      </c>
      <c r="R12" s="11">
        <f t="shared" si="9"/>
        <v>2.1661032325994894E-2</v>
      </c>
      <c r="S12" s="11">
        <f t="shared" si="9"/>
        <v>2.4588303390042105E-2</v>
      </c>
      <c r="T12" s="12">
        <f t="shared" si="9"/>
        <v>2.8566961144554766E-2</v>
      </c>
      <c r="U12" s="10">
        <f t="shared" si="9"/>
        <v>2.7885074432533311E-2</v>
      </c>
      <c r="V12" s="11">
        <f t="shared" si="9"/>
        <v>3.9890439109428126E-2</v>
      </c>
      <c r="W12" s="74">
        <f t="shared" si="9"/>
        <v>3.6816089152928624E-2</v>
      </c>
      <c r="X12" s="11">
        <f t="shared" si="9"/>
        <v>0.12879376058723885</v>
      </c>
      <c r="Y12" s="11">
        <f t="shared" si="9"/>
        <v>2.8305014152507076E-2</v>
      </c>
      <c r="Z12" s="11">
        <f t="shared" si="9"/>
        <v>2.3805975974058226E-2</v>
      </c>
      <c r="AA12" s="11">
        <f t="shared" si="9"/>
        <v>2.6948017301922519E-2</v>
      </c>
      <c r="AB12" s="11">
        <f t="shared" si="9"/>
        <v>2.4620389979961677E-2</v>
      </c>
      <c r="AC12" s="12">
        <f t="shared" si="9"/>
        <v>2.7897229922944272E-2</v>
      </c>
    </row>
    <row r="13" spans="1:29" x14ac:dyDescent="0.2">
      <c r="B13" s="4" t="s">
        <v>45</v>
      </c>
      <c r="C13" s="10">
        <f t="shared" ref="C13:AC13" si="10">C40/SUM(C$30:C$48)</f>
        <v>7.3997247872717942E-2</v>
      </c>
      <c r="D13" s="11">
        <f t="shared" si="10"/>
        <v>0.12520997246546639</v>
      </c>
      <c r="E13" s="11">
        <f t="shared" si="10"/>
        <v>0.10207536109702363</v>
      </c>
      <c r="F13" s="11">
        <f t="shared" si="10"/>
        <v>0.18403267927724448</v>
      </c>
      <c r="G13" s="11">
        <f t="shared" si="10"/>
        <v>5.2292026146013075E-2</v>
      </c>
      <c r="H13" s="11">
        <f t="shared" si="10"/>
        <v>6.8260354357806308E-2</v>
      </c>
      <c r="I13" s="11">
        <f t="shared" si="10"/>
        <v>6.6892329530649372E-2</v>
      </c>
      <c r="J13" s="11">
        <f t="shared" si="10"/>
        <v>5.8146213984732291E-2</v>
      </c>
      <c r="K13" s="12">
        <f t="shared" si="10"/>
        <v>6.6257740135193144E-2</v>
      </c>
      <c r="L13" s="10">
        <f t="shared" si="10"/>
        <v>7.0341732973592516E-2</v>
      </c>
      <c r="M13" s="11">
        <f t="shared" si="10"/>
        <v>0.11120556084024279</v>
      </c>
      <c r="N13" s="11">
        <f t="shared" si="10"/>
        <v>9.8514794070091893E-2</v>
      </c>
      <c r="O13" s="11">
        <f t="shared" si="10"/>
        <v>0.17176315382297613</v>
      </c>
      <c r="P13" s="11">
        <f t="shared" si="10"/>
        <v>6.7983289023927085E-2</v>
      </c>
      <c r="Q13" s="11">
        <f t="shared" si="10"/>
        <v>4.1051019540001704E-2</v>
      </c>
      <c r="R13" s="11">
        <f t="shared" si="10"/>
        <v>6.2569325567766051E-2</v>
      </c>
      <c r="S13" s="11">
        <f t="shared" si="10"/>
        <v>5.6150764376752052E-2</v>
      </c>
      <c r="T13" s="12">
        <f t="shared" si="10"/>
        <v>6.9197091705105157E-2</v>
      </c>
      <c r="U13" s="10">
        <f t="shared" si="10"/>
        <v>7.3997247872717942E-2</v>
      </c>
      <c r="V13" s="11">
        <f t="shared" si="10"/>
        <v>0.12520997246546639</v>
      </c>
      <c r="W13" s="74">
        <f t="shared" si="10"/>
        <v>0.10207536109702363</v>
      </c>
      <c r="X13" s="11">
        <f t="shared" si="10"/>
        <v>0.18403267927724448</v>
      </c>
      <c r="Y13" s="11">
        <f t="shared" si="10"/>
        <v>5.2292026146013075E-2</v>
      </c>
      <c r="Z13" s="11">
        <f t="shared" si="10"/>
        <v>6.8260354357806308E-2</v>
      </c>
      <c r="AA13" s="11">
        <f t="shared" si="10"/>
        <v>6.6892329530649372E-2</v>
      </c>
      <c r="AB13" s="11">
        <f t="shared" si="10"/>
        <v>5.8146213984732291E-2</v>
      </c>
      <c r="AC13" s="12">
        <f t="shared" si="10"/>
        <v>6.6257740135193144E-2</v>
      </c>
    </row>
    <row r="14" spans="1:29" x14ac:dyDescent="0.2">
      <c r="B14" s="4" t="s">
        <v>46</v>
      </c>
      <c r="C14" s="10">
        <f t="shared" ref="C14:AC14" si="11">C41/SUM(C$30:C$48)</f>
        <v>8.80080776722824E-2</v>
      </c>
      <c r="D14" s="11">
        <f t="shared" si="11"/>
        <v>0.11069228859885591</v>
      </c>
      <c r="E14" s="11">
        <f t="shared" si="11"/>
        <v>0.12231194304118449</v>
      </c>
      <c r="F14" s="11">
        <f t="shared" si="11"/>
        <v>0.12990542066629024</v>
      </c>
      <c r="G14" s="11">
        <f t="shared" si="11"/>
        <v>0.10149005074502537</v>
      </c>
      <c r="H14" s="11">
        <f t="shared" si="11"/>
        <v>0.10040374367598329</v>
      </c>
      <c r="I14" s="11">
        <f t="shared" si="11"/>
        <v>7.4401741111422698E-2</v>
      </c>
      <c r="J14" s="11">
        <f t="shared" si="11"/>
        <v>0.11795424948369529</v>
      </c>
      <c r="K14" s="12">
        <f t="shared" si="11"/>
        <v>9.5777578892987852E-2</v>
      </c>
      <c r="L14" s="10">
        <f t="shared" si="11"/>
        <v>8.5142962018710355E-2</v>
      </c>
      <c r="M14" s="11">
        <f t="shared" si="11"/>
        <v>0.10133106653983417</v>
      </c>
      <c r="N14" s="11">
        <f t="shared" si="11"/>
        <v>0.12380081730670833</v>
      </c>
      <c r="O14" s="11">
        <f t="shared" si="11"/>
        <v>0.13447396923377608</v>
      </c>
      <c r="P14" s="11">
        <f t="shared" si="11"/>
        <v>0.11052031902772502</v>
      </c>
      <c r="Q14" s="11">
        <f t="shared" si="11"/>
        <v>9.0780182070843138E-2</v>
      </c>
      <c r="R14" s="11">
        <f t="shared" si="11"/>
        <v>7.4810358357311008E-2</v>
      </c>
      <c r="S14" s="11">
        <f t="shared" si="11"/>
        <v>0.11892953206750576</v>
      </c>
      <c r="T14" s="12">
        <f t="shared" si="11"/>
        <v>0.10184504729888202</v>
      </c>
      <c r="U14" s="10">
        <f t="shared" si="11"/>
        <v>8.80080776722824E-2</v>
      </c>
      <c r="V14" s="11">
        <f t="shared" si="11"/>
        <v>0.11069228859885591</v>
      </c>
      <c r="W14" s="74">
        <f t="shared" si="11"/>
        <v>0.12231194304118449</v>
      </c>
      <c r="X14" s="11">
        <f t="shared" si="11"/>
        <v>0.12990542066629024</v>
      </c>
      <c r="Y14" s="11">
        <f t="shared" si="11"/>
        <v>0.10149005074502537</v>
      </c>
      <c r="Z14" s="11">
        <f t="shared" si="11"/>
        <v>0.10040374367598329</v>
      </c>
      <c r="AA14" s="11">
        <f t="shared" si="11"/>
        <v>7.4401741111422698E-2</v>
      </c>
      <c r="AB14" s="11">
        <f t="shared" si="11"/>
        <v>0.11795424948369529</v>
      </c>
      <c r="AC14" s="12">
        <f t="shared" si="11"/>
        <v>9.5777578892987852E-2</v>
      </c>
    </row>
    <row r="15" spans="1:29" x14ac:dyDescent="0.2">
      <c r="B15" s="4" t="s">
        <v>47</v>
      </c>
      <c r="C15" s="10">
        <f t="shared" ref="C15:AC15" si="12">C42/SUM(C$30:C$48)</f>
        <v>2.0967737817751988E-2</v>
      </c>
      <c r="D15" s="11">
        <f t="shared" si="12"/>
        <v>1.6656372483938187E-2</v>
      </c>
      <c r="E15" s="11">
        <f t="shared" si="12"/>
        <v>1.4043759756041337E-2</v>
      </c>
      <c r="F15" s="11">
        <f t="shared" si="12"/>
        <v>2.1077428006775832E-2</v>
      </c>
      <c r="G15" s="11">
        <f t="shared" si="12"/>
        <v>1.3107006553503277E-2</v>
      </c>
      <c r="H15" s="11">
        <f t="shared" si="12"/>
        <v>1.7661124947669426E-2</v>
      </c>
      <c r="I15" s="11">
        <f t="shared" si="12"/>
        <v>4.3761058762510519E-2</v>
      </c>
      <c r="J15" s="11">
        <f t="shared" si="12"/>
        <v>1.6113968508701542E-2</v>
      </c>
      <c r="K15" s="12">
        <f t="shared" si="12"/>
        <v>1.5534842432312472E-2</v>
      </c>
      <c r="L15" s="10">
        <f t="shared" si="12"/>
        <v>1.9049949622134799E-2</v>
      </c>
      <c r="M15" s="11">
        <f t="shared" si="12"/>
        <v>1.3836885317789607E-2</v>
      </c>
      <c r="N15" s="11">
        <f t="shared" si="12"/>
        <v>1.5789437777580691E-2</v>
      </c>
      <c r="O15" s="11">
        <f t="shared" si="12"/>
        <v>2.1849067973973305E-2</v>
      </c>
      <c r="P15" s="11">
        <f t="shared" si="12"/>
        <v>1.4875300670971009E-2</v>
      </c>
      <c r="Q15" s="11">
        <f t="shared" si="12"/>
        <v>1.1202178043731035E-2</v>
      </c>
      <c r="R15" s="11">
        <f t="shared" si="12"/>
        <v>6.107603214388594E-2</v>
      </c>
      <c r="S15" s="11">
        <f t="shared" si="12"/>
        <v>1.5781230493354972E-2</v>
      </c>
      <c r="T15" s="12">
        <f t="shared" si="12"/>
        <v>1.9795168477835978E-2</v>
      </c>
      <c r="U15" s="10">
        <f t="shared" si="12"/>
        <v>2.0967737817751988E-2</v>
      </c>
      <c r="V15" s="11">
        <f t="shared" si="12"/>
        <v>1.6656372483938187E-2</v>
      </c>
      <c r="W15" s="74">
        <f t="shared" si="12"/>
        <v>1.4043759756041337E-2</v>
      </c>
      <c r="X15" s="11">
        <f t="shared" si="12"/>
        <v>2.1077428006775832E-2</v>
      </c>
      <c r="Y15" s="11">
        <f t="shared" si="12"/>
        <v>1.3107006553503277E-2</v>
      </c>
      <c r="Z15" s="11">
        <f t="shared" si="12"/>
        <v>1.7661124947669426E-2</v>
      </c>
      <c r="AA15" s="11">
        <f t="shared" si="12"/>
        <v>4.3761058762510519E-2</v>
      </c>
      <c r="AB15" s="11">
        <f t="shared" si="12"/>
        <v>1.6113968508701542E-2</v>
      </c>
      <c r="AC15" s="12">
        <f t="shared" si="12"/>
        <v>1.5534842432312472E-2</v>
      </c>
    </row>
    <row r="16" spans="1:29" x14ac:dyDescent="0.2">
      <c r="B16" s="4" t="s">
        <v>48</v>
      </c>
      <c r="C16" s="10">
        <f t="shared" ref="C16:AC16" si="13">C43/SUM(C$30:C$48)</f>
        <v>3.820299874648006E-2</v>
      </c>
      <c r="D16" s="11">
        <f t="shared" si="13"/>
        <v>9.4512142325253845E-2</v>
      </c>
      <c r="E16" s="11">
        <f t="shared" si="13"/>
        <v>3.9720672598778886E-2</v>
      </c>
      <c r="F16" s="11">
        <f t="shared" si="13"/>
        <v>6.9743435911914176E-2</v>
      </c>
      <c r="G16" s="11">
        <f t="shared" si="13"/>
        <v>3.1424515712257857E-2</v>
      </c>
      <c r="H16" s="11">
        <f t="shared" si="13"/>
        <v>3.5002944703436435E-2</v>
      </c>
      <c r="I16" s="11">
        <f t="shared" si="13"/>
        <v>6.4368512089259255E-2</v>
      </c>
      <c r="J16" s="11">
        <f t="shared" si="13"/>
        <v>4.0957980908783977E-2</v>
      </c>
      <c r="K16" s="12">
        <f t="shared" si="13"/>
        <v>3.1753654508014817E-2</v>
      </c>
      <c r="L16" s="10">
        <f t="shared" si="13"/>
        <v>3.9144912210171211E-2</v>
      </c>
      <c r="M16" s="11">
        <f t="shared" si="13"/>
        <v>7.36483006919567E-2</v>
      </c>
      <c r="N16" s="11">
        <f t="shared" si="13"/>
        <v>4.7357397717271918E-2</v>
      </c>
      <c r="O16" s="11">
        <f t="shared" si="13"/>
        <v>7.3430132657963956E-2</v>
      </c>
      <c r="P16" s="11">
        <f t="shared" si="13"/>
        <v>3.3411402287209353E-2</v>
      </c>
      <c r="Q16" s="11">
        <f t="shared" si="13"/>
        <v>2.5651569722923342E-2</v>
      </c>
      <c r="R16" s="11">
        <f t="shared" si="13"/>
        <v>6.3062675279868349E-2</v>
      </c>
      <c r="S16" s="11">
        <f t="shared" si="13"/>
        <v>3.2600923834708494E-2</v>
      </c>
      <c r="T16" s="12">
        <f t="shared" si="13"/>
        <v>3.9777968884371823E-2</v>
      </c>
      <c r="U16" s="10">
        <f t="shared" si="13"/>
        <v>3.820299874648006E-2</v>
      </c>
      <c r="V16" s="11">
        <f t="shared" si="13"/>
        <v>9.4512142325253845E-2</v>
      </c>
      <c r="W16" s="74">
        <f t="shared" si="13"/>
        <v>3.9720672598778886E-2</v>
      </c>
      <c r="X16" s="11">
        <f t="shared" si="13"/>
        <v>6.9743435911914176E-2</v>
      </c>
      <c r="Y16" s="11">
        <f t="shared" si="13"/>
        <v>3.1424515712257857E-2</v>
      </c>
      <c r="Z16" s="11">
        <f t="shared" si="13"/>
        <v>3.5002944703436435E-2</v>
      </c>
      <c r="AA16" s="11">
        <f t="shared" si="13"/>
        <v>6.4368512089259255E-2</v>
      </c>
      <c r="AB16" s="11">
        <f t="shared" si="13"/>
        <v>4.0957980908783977E-2</v>
      </c>
      <c r="AC16" s="12">
        <f t="shared" si="13"/>
        <v>3.1753654508014817E-2</v>
      </c>
    </row>
    <row r="17" spans="1:29" x14ac:dyDescent="0.2">
      <c r="B17" s="4" t="s">
        <v>49</v>
      </c>
      <c r="C17" s="10">
        <f t="shared" ref="C17:AC17" si="14">C44/SUM(C$30:C$48)</f>
        <v>7.3553026957061202E-2</v>
      </c>
      <c r="D17" s="11">
        <f t="shared" si="14"/>
        <v>4.8055553952100302E-2</v>
      </c>
      <c r="E17" s="11">
        <f t="shared" si="14"/>
        <v>5.242246211198124E-2</v>
      </c>
      <c r="F17" s="11">
        <f t="shared" si="14"/>
        <v>3.715238565782044E-2</v>
      </c>
      <c r="G17" s="11">
        <f t="shared" si="14"/>
        <v>7.8778039389019699E-2</v>
      </c>
      <c r="H17" s="11">
        <f t="shared" si="14"/>
        <v>7.7002220945001448E-2</v>
      </c>
      <c r="I17" s="11">
        <f t="shared" si="14"/>
        <v>7.2416437322718574E-2</v>
      </c>
      <c r="J17" s="11">
        <f t="shared" si="14"/>
        <v>7.7325125075088902E-2</v>
      </c>
      <c r="K17" s="12">
        <f t="shared" si="14"/>
        <v>6.13753610850378E-2</v>
      </c>
      <c r="L17" s="10">
        <f t="shared" si="14"/>
        <v>7.4424400116362255E-2</v>
      </c>
      <c r="M17" s="11">
        <f t="shared" si="14"/>
        <v>4.7782567728326598E-2</v>
      </c>
      <c r="N17" s="11">
        <f t="shared" si="14"/>
        <v>5.1465762489851886E-2</v>
      </c>
      <c r="O17" s="11">
        <f t="shared" si="14"/>
        <v>4.0505875550705638E-2</v>
      </c>
      <c r="P17" s="11">
        <f t="shared" si="14"/>
        <v>7.4714098831075659E-2</v>
      </c>
      <c r="Q17" s="11">
        <f t="shared" si="14"/>
        <v>7.5777771475567912E-2</v>
      </c>
      <c r="R17" s="11">
        <f t="shared" si="14"/>
        <v>6.4264594377137704E-2</v>
      </c>
      <c r="S17" s="11">
        <f t="shared" si="14"/>
        <v>7.9490642485047266E-2</v>
      </c>
      <c r="T17" s="12">
        <f t="shared" si="14"/>
        <v>5.7735908060354939E-2</v>
      </c>
      <c r="U17" s="10">
        <f t="shared" si="14"/>
        <v>7.3553026957061202E-2</v>
      </c>
      <c r="V17" s="11">
        <f t="shared" si="14"/>
        <v>4.8055553952100302E-2</v>
      </c>
      <c r="W17" s="74">
        <f t="shared" si="14"/>
        <v>5.242246211198124E-2</v>
      </c>
      <c r="X17" s="11">
        <f t="shared" si="14"/>
        <v>3.715238565782044E-2</v>
      </c>
      <c r="Y17" s="11">
        <f t="shared" si="14"/>
        <v>7.8778039389019699E-2</v>
      </c>
      <c r="Z17" s="11">
        <f t="shared" si="14"/>
        <v>7.7002220945001448E-2</v>
      </c>
      <c r="AA17" s="11">
        <f t="shared" si="14"/>
        <v>7.2416437322718574E-2</v>
      </c>
      <c r="AB17" s="11">
        <f t="shared" si="14"/>
        <v>7.7325125075088902E-2</v>
      </c>
      <c r="AC17" s="12">
        <f t="shared" si="14"/>
        <v>6.13753610850378E-2</v>
      </c>
    </row>
    <row r="18" spans="1:29" x14ac:dyDescent="0.2">
      <c r="B18" s="4" t="s">
        <v>50</v>
      </c>
      <c r="C18" s="10">
        <f t="shared" ref="C18:AC18" si="15">C45/SUM(C$30:C$48)</f>
        <v>3.2844264827149555E-2</v>
      </c>
      <c r="D18" s="11">
        <f t="shared" si="15"/>
        <v>1.7738704780156662E-2</v>
      </c>
      <c r="E18" s="11">
        <f t="shared" si="15"/>
        <v>1.3371951339994336E-2</v>
      </c>
      <c r="F18" s="11">
        <f t="shared" si="15"/>
        <v>1.5227978543195934E-2</v>
      </c>
      <c r="G18" s="11">
        <f t="shared" si="15"/>
        <v>1.2104006052003026E-2</v>
      </c>
      <c r="H18" s="11">
        <f t="shared" si="15"/>
        <v>2.1535361276085459E-2</v>
      </c>
      <c r="I18" s="11">
        <f t="shared" si="15"/>
        <v>5.481671923585657E-2</v>
      </c>
      <c r="J18" s="11">
        <f t="shared" si="15"/>
        <v>1.9244682390392127E-2</v>
      </c>
      <c r="K18" s="12">
        <f t="shared" si="15"/>
        <v>1.1329156752744974E-2</v>
      </c>
      <c r="L18" s="10">
        <f t="shared" si="15"/>
        <v>3.3487858747207992E-2</v>
      </c>
      <c r="M18" s="11">
        <f t="shared" si="15"/>
        <v>2.0270710914115961E-2</v>
      </c>
      <c r="N18" s="11">
        <f t="shared" si="15"/>
        <v>1.5783979969845614E-2</v>
      </c>
      <c r="O18" s="11">
        <f t="shared" si="15"/>
        <v>1.7223547806542505E-2</v>
      </c>
      <c r="P18" s="11">
        <f t="shared" si="15"/>
        <v>1.4622104063805545E-2</v>
      </c>
      <c r="Q18" s="11">
        <f t="shared" si="15"/>
        <v>1.8178724369700236E-2</v>
      </c>
      <c r="R18" s="11">
        <f t="shared" si="15"/>
        <v>6.3423582116238483E-2</v>
      </c>
      <c r="S18" s="11">
        <f t="shared" si="15"/>
        <v>2.2420583128099782E-2</v>
      </c>
      <c r="T18" s="12">
        <f t="shared" si="15"/>
        <v>1.3744038777265264E-2</v>
      </c>
      <c r="U18" s="10">
        <f t="shared" si="15"/>
        <v>3.2844264827149555E-2</v>
      </c>
      <c r="V18" s="11">
        <f t="shared" si="15"/>
        <v>1.7738704780156662E-2</v>
      </c>
      <c r="W18" s="74">
        <f t="shared" si="15"/>
        <v>1.3371951339994336E-2</v>
      </c>
      <c r="X18" s="11">
        <f t="shared" si="15"/>
        <v>1.5227978543195934E-2</v>
      </c>
      <c r="Y18" s="11">
        <f t="shared" si="15"/>
        <v>1.2104006052003026E-2</v>
      </c>
      <c r="Z18" s="11">
        <f t="shared" si="15"/>
        <v>2.1535361276085459E-2</v>
      </c>
      <c r="AA18" s="11">
        <f t="shared" si="15"/>
        <v>5.481671923585657E-2</v>
      </c>
      <c r="AB18" s="11">
        <f t="shared" si="15"/>
        <v>1.9244682390392127E-2</v>
      </c>
      <c r="AC18" s="12">
        <f t="shared" si="15"/>
        <v>1.1329156752744974E-2</v>
      </c>
    </row>
    <row r="19" spans="1:29" x14ac:dyDescent="0.2">
      <c r="B19" s="4" t="s">
        <v>51</v>
      </c>
      <c r="C19" s="10">
        <f t="shared" ref="C19:AC19" si="16">C46/SUM(C$30:C$48)</f>
        <v>4.9286821190869474E-2</v>
      </c>
      <c r="D19" s="11">
        <f t="shared" si="16"/>
        <v>4.7155053481646531E-2</v>
      </c>
      <c r="E19" s="11">
        <f t="shared" si="16"/>
        <v>3.3807770584012277E-2</v>
      </c>
      <c r="F19" s="11">
        <f t="shared" si="16"/>
        <v>2.326545736871824E-2</v>
      </c>
      <c r="G19" s="11">
        <f t="shared" si="16"/>
        <v>2.6673013336506669E-2</v>
      </c>
      <c r="H19" s="11">
        <f t="shared" si="16"/>
        <v>5.1606814682362293E-2</v>
      </c>
      <c r="I19" s="11">
        <f t="shared" si="16"/>
        <v>7.0639590431828395E-2</v>
      </c>
      <c r="J19" s="11">
        <f t="shared" si="16"/>
        <v>4.2181327089444581E-2</v>
      </c>
      <c r="K19" s="12">
        <f t="shared" si="16"/>
        <v>2.4317303704350483E-2</v>
      </c>
      <c r="L19" s="10">
        <f t="shared" si="16"/>
        <v>4.394298249447217E-2</v>
      </c>
      <c r="M19" s="11">
        <f t="shared" si="16"/>
        <v>5.0031370802890163E-2</v>
      </c>
      <c r="N19" s="11">
        <f t="shared" si="16"/>
        <v>3.7212697589695656E-2</v>
      </c>
      <c r="O19" s="11">
        <f t="shared" si="16"/>
        <v>2.6743324348314699E-2</v>
      </c>
      <c r="P19" s="11">
        <f t="shared" si="16"/>
        <v>3.0932185508714183E-2</v>
      </c>
      <c r="Q19" s="11">
        <f t="shared" si="16"/>
        <v>5.5372791469328719E-2</v>
      </c>
      <c r="R19" s="11">
        <f t="shared" si="16"/>
        <v>8.3462189214514412E-2</v>
      </c>
      <c r="S19" s="11">
        <f t="shared" si="16"/>
        <v>5.3722009737717201E-2</v>
      </c>
      <c r="T19" s="12">
        <f t="shared" si="16"/>
        <v>2.7433351575326403E-2</v>
      </c>
      <c r="U19" s="10">
        <f t="shared" si="16"/>
        <v>4.9286821190869474E-2</v>
      </c>
      <c r="V19" s="11">
        <f t="shared" si="16"/>
        <v>4.7155053481646531E-2</v>
      </c>
      <c r="W19" s="74">
        <f t="shared" si="16"/>
        <v>3.3807770584012277E-2</v>
      </c>
      <c r="X19" s="11">
        <f t="shared" si="16"/>
        <v>2.326545736871824E-2</v>
      </c>
      <c r="Y19" s="11">
        <f t="shared" si="16"/>
        <v>2.6673013336506669E-2</v>
      </c>
      <c r="Z19" s="11">
        <f t="shared" si="16"/>
        <v>5.1606814682362293E-2</v>
      </c>
      <c r="AA19" s="11">
        <f t="shared" si="16"/>
        <v>7.0639590431828395E-2</v>
      </c>
      <c r="AB19" s="11">
        <f t="shared" si="16"/>
        <v>4.2181327089444581E-2</v>
      </c>
      <c r="AC19" s="12">
        <f t="shared" si="16"/>
        <v>2.4317303704350483E-2</v>
      </c>
    </row>
    <row r="20" spans="1:29" x14ac:dyDescent="0.2">
      <c r="B20" s="4" t="s">
        <v>52</v>
      </c>
      <c r="C20" s="10">
        <f t="shared" ref="C20:AC20" si="17">C47/SUM(C$30:C$48)</f>
        <v>3.2126873578301594E-2</v>
      </c>
      <c r="D20" s="11">
        <f t="shared" si="17"/>
        <v>3.7515080496660642E-2</v>
      </c>
      <c r="E20" s="11">
        <f t="shared" si="17"/>
        <v>2.0570839562929349E-2</v>
      </c>
      <c r="F20" s="11">
        <f t="shared" si="17"/>
        <v>1.8192405420666292E-2</v>
      </c>
      <c r="G20" s="11">
        <f t="shared" si="17"/>
        <v>2.3528011764005881E-2</v>
      </c>
      <c r="H20" s="11">
        <f t="shared" si="17"/>
        <v>3.1611213998339611E-2</v>
      </c>
      <c r="I20" s="11">
        <f t="shared" si="17"/>
        <v>4.3919883065606846E-2</v>
      </c>
      <c r="J20" s="11">
        <f t="shared" si="17"/>
        <v>4.3974691203746336E-2</v>
      </c>
      <c r="K20" s="12">
        <f t="shared" si="17"/>
        <v>1.6720874899041716E-2</v>
      </c>
      <c r="L20" s="10">
        <f t="shared" si="17"/>
        <v>2.7320159760883055E-2</v>
      </c>
      <c r="M20" s="11">
        <f t="shared" si="17"/>
        <v>3.7339126250053409E-2</v>
      </c>
      <c r="N20" s="11">
        <f t="shared" si="17"/>
        <v>2.5527531228893636E-2</v>
      </c>
      <c r="O20" s="11">
        <f t="shared" si="17"/>
        <v>1.9609599583051703E-2</v>
      </c>
      <c r="P20" s="11">
        <f t="shared" si="17"/>
        <v>2.7303034139342534E-2</v>
      </c>
      <c r="Q20" s="11">
        <f t="shared" si="17"/>
        <v>2.9508522163296559E-2</v>
      </c>
      <c r="R20" s="11">
        <f t="shared" si="17"/>
        <v>4.5163020624666823E-2</v>
      </c>
      <c r="S20" s="11">
        <f t="shared" si="17"/>
        <v>5.2280646003336699E-2</v>
      </c>
      <c r="T20" s="12">
        <f t="shared" si="17"/>
        <v>2.0905324055976858E-2</v>
      </c>
      <c r="U20" s="10">
        <f t="shared" si="17"/>
        <v>3.2126873578301594E-2</v>
      </c>
      <c r="V20" s="11">
        <f t="shared" si="17"/>
        <v>3.7515080496660642E-2</v>
      </c>
      <c r="W20" s="74">
        <f t="shared" si="17"/>
        <v>2.0570839562929349E-2</v>
      </c>
      <c r="X20" s="11">
        <f t="shared" si="17"/>
        <v>1.8192405420666292E-2</v>
      </c>
      <c r="Y20" s="11">
        <f t="shared" si="17"/>
        <v>2.3528011764005881E-2</v>
      </c>
      <c r="Z20" s="11">
        <f t="shared" si="17"/>
        <v>3.1611213998339611E-2</v>
      </c>
      <c r="AA20" s="11">
        <f t="shared" si="17"/>
        <v>4.3919883065606846E-2</v>
      </c>
      <c r="AB20" s="11">
        <f t="shared" si="17"/>
        <v>4.3974691203746336E-2</v>
      </c>
      <c r="AC20" s="12">
        <f t="shared" si="17"/>
        <v>1.6720874899041716E-2</v>
      </c>
    </row>
    <row r="21" spans="1:29" x14ac:dyDescent="0.2">
      <c r="B21" s="4" t="s">
        <v>53</v>
      </c>
      <c r="C21" s="10">
        <f t="shared" ref="C21:AC21" si="18">C48/SUM(C$30:C$48)</f>
        <v>1.5609003898421485E-2</v>
      </c>
      <c r="D21" s="11">
        <f t="shared" si="18"/>
        <v>1.2179846106778575E-2</v>
      </c>
      <c r="E21" s="11">
        <f t="shared" si="18"/>
        <v>4.3865137753657073E-3</v>
      </c>
      <c r="F21" s="11">
        <f t="shared" si="18"/>
        <v>5.717108977978543E-3</v>
      </c>
      <c r="G21" s="11">
        <f t="shared" si="18"/>
        <v>7.5820037910018954E-3</v>
      </c>
      <c r="H21" s="11">
        <f t="shared" si="18"/>
        <v>1.3900419354152031E-2</v>
      </c>
      <c r="I21" s="11">
        <f t="shared" si="18"/>
        <v>1.7761024019694215E-2</v>
      </c>
      <c r="J21" s="11">
        <f t="shared" si="18"/>
        <v>1.0589179305718156E-2</v>
      </c>
      <c r="K21" s="12">
        <f t="shared" si="18"/>
        <v>4.1038178603392201E-3</v>
      </c>
      <c r="L21" s="10">
        <f t="shared" si="18"/>
        <v>1.5531614451393163E-2</v>
      </c>
      <c r="M21" s="11">
        <f t="shared" si="18"/>
        <v>1.5728128703497563E-2</v>
      </c>
      <c r="N21" s="11">
        <f t="shared" si="18"/>
        <v>7.6409308291092177E-3</v>
      </c>
      <c r="O21" s="11">
        <f t="shared" si="18"/>
        <v>6.5799653085987439E-3</v>
      </c>
      <c r="P21" s="11">
        <f t="shared" si="18"/>
        <v>8.8196818162636619E-3</v>
      </c>
      <c r="Q21" s="11">
        <f t="shared" si="18"/>
        <v>8.5363432687671926E-3</v>
      </c>
      <c r="R21" s="11">
        <f t="shared" si="18"/>
        <v>1.9171106262230272E-2</v>
      </c>
      <c r="S21" s="11">
        <f t="shared" si="18"/>
        <v>1.9503807697109327E-2</v>
      </c>
      <c r="T21" s="12">
        <f t="shared" si="18"/>
        <v>1.2852787115940897E-2</v>
      </c>
      <c r="U21" s="10">
        <f t="shared" si="18"/>
        <v>1.5609003898421485E-2</v>
      </c>
      <c r="V21" s="11">
        <f t="shared" si="18"/>
        <v>1.2179846106778575E-2</v>
      </c>
      <c r="W21" s="74">
        <f t="shared" si="18"/>
        <v>4.3865137753657073E-3</v>
      </c>
      <c r="X21" s="11">
        <f t="shared" si="18"/>
        <v>5.717108977978543E-3</v>
      </c>
      <c r="Y21" s="11">
        <f t="shared" si="18"/>
        <v>7.5820037910018954E-3</v>
      </c>
      <c r="Z21" s="11">
        <f t="shared" si="18"/>
        <v>1.3900419354152031E-2</v>
      </c>
      <c r="AA21" s="11">
        <f t="shared" si="18"/>
        <v>1.7761024019694215E-2</v>
      </c>
      <c r="AB21" s="11">
        <f t="shared" si="18"/>
        <v>1.0589179305718156E-2</v>
      </c>
      <c r="AC21" s="12">
        <f t="shared" si="18"/>
        <v>4.1038178603392201E-3</v>
      </c>
    </row>
    <row r="22" spans="1:29" x14ac:dyDescent="0.2">
      <c r="C22" s="13">
        <f>SUM(C3:C21)</f>
        <v>0.99999999999999967</v>
      </c>
      <c r="D22" s="14">
        <f t="shared" ref="D22:K22" si="19">SUM(D3:D21)</f>
        <v>1</v>
      </c>
      <c r="E22" s="14">
        <f t="shared" si="19"/>
        <v>1.0000000000000002</v>
      </c>
      <c r="F22" s="14">
        <f t="shared" si="19"/>
        <v>0.99999999999999989</v>
      </c>
      <c r="G22" s="14">
        <f t="shared" si="19"/>
        <v>0.99999999999999989</v>
      </c>
      <c r="H22" s="14">
        <f t="shared" si="19"/>
        <v>0.99999999999999989</v>
      </c>
      <c r="I22" s="14">
        <f t="shared" si="19"/>
        <v>1</v>
      </c>
      <c r="J22" s="14">
        <f t="shared" si="19"/>
        <v>0.99999999999999989</v>
      </c>
      <c r="K22" s="15">
        <f t="shared" si="19"/>
        <v>1</v>
      </c>
      <c r="L22" s="13">
        <f>SUM(L3:L21)</f>
        <v>1</v>
      </c>
      <c r="M22" s="14">
        <f t="shared" ref="M22:T22" si="20">SUM(M3:M21)</f>
        <v>1</v>
      </c>
      <c r="N22" s="14">
        <f t="shared" si="20"/>
        <v>1</v>
      </c>
      <c r="O22" s="14">
        <f t="shared" si="20"/>
        <v>1</v>
      </c>
      <c r="P22" s="14">
        <f t="shared" si="20"/>
        <v>1.0000000000000002</v>
      </c>
      <c r="Q22" s="14">
        <f t="shared" si="20"/>
        <v>1</v>
      </c>
      <c r="R22" s="14">
        <f t="shared" si="20"/>
        <v>0.99999999999999989</v>
      </c>
      <c r="S22" s="14">
        <f t="shared" si="20"/>
        <v>1</v>
      </c>
      <c r="T22" s="15">
        <f t="shared" si="20"/>
        <v>1.0000000000000002</v>
      </c>
      <c r="U22" s="13">
        <f>SUM(U3:U21)</f>
        <v>0.99999999999999967</v>
      </c>
      <c r="V22" s="14">
        <f t="shared" ref="V22:AC22" si="21">SUM(V3:V21)</f>
        <v>1</v>
      </c>
      <c r="W22" s="14">
        <f t="shared" si="21"/>
        <v>1.0000000000000002</v>
      </c>
      <c r="X22" s="14">
        <f t="shared" si="21"/>
        <v>0.99999999999999989</v>
      </c>
      <c r="Y22" s="14">
        <f t="shared" si="21"/>
        <v>0.99999999999999989</v>
      </c>
      <c r="Z22" s="14">
        <f t="shared" si="21"/>
        <v>0.99999999999999989</v>
      </c>
      <c r="AA22" s="14">
        <f t="shared" si="21"/>
        <v>1</v>
      </c>
      <c r="AB22" s="14">
        <f t="shared" si="21"/>
        <v>0.99999999999999989</v>
      </c>
      <c r="AC22" s="15">
        <f t="shared" si="21"/>
        <v>1</v>
      </c>
    </row>
    <row r="26" spans="1:29" ht="19" x14ac:dyDescent="0.25">
      <c r="A26" s="2" t="s">
        <v>21</v>
      </c>
    </row>
    <row r="28" spans="1:29" x14ac:dyDescent="0.2">
      <c r="C28" s="4" t="s">
        <v>22</v>
      </c>
      <c r="L28" s="4" t="s">
        <v>23</v>
      </c>
      <c r="U28" s="4" t="s">
        <v>24</v>
      </c>
    </row>
    <row r="29" spans="1:29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 x14ac:dyDescent="0.2">
      <c r="A30" s="4" t="s">
        <v>34</v>
      </c>
      <c r="B30" s="4" t="s">
        <v>35</v>
      </c>
      <c r="C30" s="6">
        <v>49345</v>
      </c>
      <c r="D30" s="6">
        <v>20527</v>
      </c>
      <c r="E30" s="6">
        <v>30211</v>
      </c>
      <c r="F30" s="6">
        <v>5414</v>
      </c>
      <c r="G30" s="6">
        <v>4782</v>
      </c>
      <c r="H30" s="6">
        <v>7418</v>
      </c>
      <c r="I30" s="6">
        <v>22849</v>
      </c>
      <c r="J30" s="6">
        <v>9840</v>
      </c>
      <c r="K30" s="6">
        <v>4771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 x14ac:dyDescent="0.2">
      <c r="B31" s="4" t="s">
        <v>36</v>
      </c>
      <c r="C31" s="6">
        <v>95609</v>
      </c>
      <c r="D31" s="6">
        <v>38779</v>
      </c>
      <c r="E31" s="6">
        <v>101439</v>
      </c>
      <c r="F31" s="6">
        <v>7580</v>
      </c>
      <c r="G31" s="6">
        <v>17461</v>
      </c>
      <c r="H31" s="6">
        <v>14572</v>
      </c>
      <c r="I31" s="6">
        <v>32584</v>
      </c>
      <c r="J31" s="6">
        <v>25240</v>
      </c>
      <c r="K31" s="6">
        <v>25393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 x14ac:dyDescent="0.2">
      <c r="B32" s="4" t="s">
        <v>37</v>
      </c>
      <c r="C32" s="6">
        <v>87158</v>
      </c>
      <c r="D32" s="6">
        <v>22784</v>
      </c>
      <c r="E32" s="6">
        <v>89342</v>
      </c>
      <c r="F32" s="6">
        <v>6922</v>
      </c>
      <c r="G32" s="6">
        <v>32198</v>
      </c>
      <c r="H32" s="6">
        <v>31352</v>
      </c>
      <c r="I32" s="6">
        <v>11953</v>
      </c>
      <c r="J32" s="6">
        <v>50382</v>
      </c>
      <c r="K32" s="6">
        <v>38142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 x14ac:dyDescent="0.2">
      <c r="B33" s="4" t="s">
        <v>38</v>
      </c>
      <c r="C33" s="6">
        <v>38136</v>
      </c>
      <c r="D33" s="6">
        <v>9696</v>
      </c>
      <c r="E33" s="6">
        <v>12191</v>
      </c>
      <c r="F33" s="6">
        <v>1876</v>
      </c>
      <c r="G33" s="6">
        <v>2382</v>
      </c>
      <c r="H33" s="6">
        <v>3876</v>
      </c>
      <c r="I33" s="6">
        <v>32286</v>
      </c>
      <c r="J33" s="6">
        <v>7902</v>
      </c>
      <c r="K33" s="6">
        <v>2642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 x14ac:dyDescent="0.2">
      <c r="B34" s="4" t="s">
        <v>39</v>
      </c>
      <c r="C34" s="6">
        <v>34552</v>
      </c>
      <c r="D34" s="6">
        <v>8459</v>
      </c>
      <c r="E34" s="6">
        <v>12323</v>
      </c>
      <c r="F34" s="6">
        <v>1537</v>
      </c>
      <c r="G34" s="6">
        <v>2289</v>
      </c>
      <c r="H34" s="6">
        <v>3534</v>
      </c>
      <c r="I34" s="6">
        <v>25619</v>
      </c>
      <c r="J34" s="6">
        <v>5508</v>
      </c>
      <c r="K34" s="6">
        <v>2370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 x14ac:dyDescent="0.2">
      <c r="B35" s="4" t="s">
        <v>40</v>
      </c>
      <c r="C35" s="6">
        <v>40575</v>
      </c>
      <c r="D35" s="6">
        <v>17509</v>
      </c>
      <c r="E35" s="6">
        <v>31544</v>
      </c>
      <c r="F35" s="6">
        <v>3319</v>
      </c>
      <c r="G35" s="6">
        <v>4251</v>
      </c>
      <c r="H35" s="6">
        <v>4941</v>
      </c>
      <c r="I35" s="6">
        <v>23068</v>
      </c>
      <c r="J35" s="6">
        <v>8062</v>
      </c>
      <c r="K35" s="6">
        <v>5207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 x14ac:dyDescent="0.2">
      <c r="B36" s="4" t="s">
        <v>41</v>
      </c>
      <c r="C36" s="6">
        <v>37518</v>
      </c>
      <c r="D36" s="6">
        <v>17271</v>
      </c>
      <c r="E36" s="6">
        <v>34831</v>
      </c>
      <c r="F36" s="6">
        <v>4861</v>
      </c>
      <c r="G36" s="6">
        <v>5428</v>
      </c>
      <c r="H36" s="6">
        <v>6155</v>
      </c>
      <c r="I36" s="6">
        <v>13775</v>
      </c>
      <c r="J36" s="6">
        <v>8670</v>
      </c>
      <c r="K36" s="6">
        <v>5771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 x14ac:dyDescent="0.2">
      <c r="B37" s="4" t="s">
        <v>42</v>
      </c>
      <c r="C37" s="6">
        <v>29883</v>
      </c>
      <c r="D37" s="6">
        <v>12297</v>
      </c>
      <c r="E37" s="6">
        <v>15198</v>
      </c>
      <c r="F37" s="6">
        <v>4327</v>
      </c>
      <c r="G37" s="6">
        <v>2729</v>
      </c>
      <c r="H37" s="6">
        <v>4506</v>
      </c>
      <c r="I37" s="6">
        <v>15963</v>
      </c>
      <c r="J37" s="6">
        <v>5934</v>
      </c>
      <c r="K37" s="6">
        <v>2203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 x14ac:dyDescent="0.2">
      <c r="B38" s="4" t="s">
        <v>43</v>
      </c>
      <c r="C38" s="6">
        <v>16147</v>
      </c>
      <c r="D38" s="6">
        <v>8728</v>
      </c>
      <c r="E38" s="6">
        <v>13305</v>
      </c>
      <c r="F38" s="6">
        <v>5749</v>
      </c>
      <c r="G38" s="6">
        <v>1976</v>
      </c>
      <c r="H38" s="6">
        <v>2456</v>
      </c>
      <c r="I38" s="6">
        <v>8907</v>
      </c>
      <c r="J38" s="6">
        <v>3644</v>
      </c>
      <c r="K38" s="6">
        <v>2136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 x14ac:dyDescent="0.2">
      <c r="B39" s="4" t="s">
        <v>44</v>
      </c>
      <c r="C39" s="6">
        <v>21845</v>
      </c>
      <c r="D39" s="6">
        <v>13821</v>
      </c>
      <c r="E39" s="6">
        <v>22359</v>
      </c>
      <c r="F39" s="6">
        <v>14598</v>
      </c>
      <c r="G39" s="6">
        <v>3330</v>
      </c>
      <c r="H39" s="6">
        <v>3355</v>
      </c>
      <c r="I39" s="6">
        <v>10859</v>
      </c>
      <c r="J39" s="6">
        <v>5615</v>
      </c>
      <c r="K39" s="6">
        <v>3834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 x14ac:dyDescent="0.2">
      <c r="B40" s="4" t="s">
        <v>45</v>
      </c>
      <c r="C40" s="6">
        <v>57969</v>
      </c>
      <c r="D40" s="6">
        <v>43382</v>
      </c>
      <c r="E40" s="6">
        <v>61992</v>
      </c>
      <c r="F40" s="6">
        <v>20859</v>
      </c>
      <c r="G40" s="6">
        <v>6152</v>
      </c>
      <c r="H40" s="6">
        <v>9620</v>
      </c>
      <c r="I40" s="6">
        <v>26955</v>
      </c>
      <c r="J40" s="6">
        <v>13261</v>
      </c>
      <c r="K40" s="6">
        <v>9106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 x14ac:dyDescent="0.2">
      <c r="B41" s="4" t="s">
        <v>46</v>
      </c>
      <c r="C41" s="6">
        <v>68945</v>
      </c>
      <c r="D41" s="6">
        <v>38352</v>
      </c>
      <c r="E41" s="6">
        <v>74282</v>
      </c>
      <c r="F41" s="6">
        <v>14724</v>
      </c>
      <c r="G41" s="6">
        <v>11940</v>
      </c>
      <c r="H41" s="6">
        <v>14150</v>
      </c>
      <c r="I41" s="6">
        <v>29981</v>
      </c>
      <c r="J41" s="6">
        <v>26901</v>
      </c>
      <c r="K41" s="6">
        <v>13163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 x14ac:dyDescent="0.2">
      <c r="B42" s="4" t="s">
        <v>47</v>
      </c>
      <c r="C42" s="6">
        <v>16426</v>
      </c>
      <c r="D42" s="6">
        <v>5771</v>
      </c>
      <c r="E42" s="6">
        <v>8529</v>
      </c>
      <c r="F42" s="6">
        <v>2389</v>
      </c>
      <c r="G42" s="6">
        <v>1542</v>
      </c>
      <c r="H42" s="6">
        <v>2489</v>
      </c>
      <c r="I42" s="6">
        <v>17634</v>
      </c>
      <c r="J42" s="6">
        <v>3675</v>
      </c>
      <c r="K42" s="6">
        <v>2135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 x14ac:dyDescent="0.2">
      <c r="B43" s="4" t="s">
        <v>48</v>
      </c>
      <c r="C43" s="6">
        <v>29928</v>
      </c>
      <c r="D43" s="6">
        <v>32746</v>
      </c>
      <c r="E43" s="6">
        <v>24123</v>
      </c>
      <c r="F43" s="6">
        <v>7905</v>
      </c>
      <c r="G43" s="6">
        <v>3697</v>
      </c>
      <c r="H43" s="6">
        <v>4933</v>
      </c>
      <c r="I43" s="6">
        <v>25938</v>
      </c>
      <c r="J43" s="6">
        <v>9341</v>
      </c>
      <c r="K43" s="6">
        <v>4364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 x14ac:dyDescent="0.2">
      <c r="B44" s="4" t="s">
        <v>49</v>
      </c>
      <c r="C44" s="6">
        <v>57621</v>
      </c>
      <c r="D44" s="6">
        <v>16650</v>
      </c>
      <c r="E44" s="6">
        <v>31837</v>
      </c>
      <c r="F44" s="6">
        <v>4211</v>
      </c>
      <c r="G44" s="6">
        <v>9268</v>
      </c>
      <c r="H44" s="6">
        <v>10852</v>
      </c>
      <c r="I44" s="6">
        <v>29181</v>
      </c>
      <c r="J44" s="6">
        <v>17635</v>
      </c>
      <c r="K44" s="6">
        <v>8435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 x14ac:dyDescent="0.2">
      <c r="B45" s="4" t="s">
        <v>50</v>
      </c>
      <c r="C45" s="6">
        <v>25730</v>
      </c>
      <c r="D45" s="6">
        <v>6146</v>
      </c>
      <c r="E45" s="6">
        <v>8121</v>
      </c>
      <c r="F45" s="6">
        <v>1726</v>
      </c>
      <c r="G45" s="6">
        <v>1424</v>
      </c>
      <c r="H45" s="6">
        <v>3035</v>
      </c>
      <c r="I45" s="6">
        <v>22089</v>
      </c>
      <c r="J45" s="6">
        <v>4389</v>
      </c>
      <c r="K45" s="6">
        <v>1557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 x14ac:dyDescent="0.2">
      <c r="B46" s="4" t="s">
        <v>51</v>
      </c>
      <c r="C46" s="6">
        <v>38611</v>
      </c>
      <c r="D46" s="6">
        <v>16338</v>
      </c>
      <c r="E46" s="6">
        <v>20532</v>
      </c>
      <c r="F46" s="6">
        <v>2637</v>
      </c>
      <c r="G46" s="6">
        <v>3138</v>
      </c>
      <c r="H46" s="6">
        <v>7273</v>
      </c>
      <c r="I46" s="6">
        <v>28465</v>
      </c>
      <c r="J46" s="6">
        <v>9620</v>
      </c>
      <c r="K46" s="6">
        <v>3342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 x14ac:dyDescent="0.2">
      <c r="B47" s="4" t="s">
        <v>52</v>
      </c>
      <c r="C47" s="6">
        <v>25168</v>
      </c>
      <c r="D47" s="6">
        <v>12998</v>
      </c>
      <c r="E47" s="6">
        <v>12493</v>
      </c>
      <c r="F47" s="6">
        <v>2062</v>
      </c>
      <c r="G47" s="6">
        <v>2768</v>
      </c>
      <c r="H47" s="6">
        <v>4455</v>
      </c>
      <c r="I47" s="6">
        <v>17698</v>
      </c>
      <c r="J47" s="6">
        <v>10029</v>
      </c>
      <c r="K47" s="6">
        <v>2298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 x14ac:dyDescent="0.2">
      <c r="B48" s="4" t="s">
        <v>53</v>
      </c>
      <c r="C48" s="6">
        <v>12228</v>
      </c>
      <c r="D48" s="6">
        <v>4220</v>
      </c>
      <c r="E48" s="6">
        <v>2664</v>
      </c>
      <c r="F48" s="6">
        <v>648</v>
      </c>
      <c r="G48" s="6">
        <v>892</v>
      </c>
      <c r="H48" s="6">
        <v>1959</v>
      </c>
      <c r="I48" s="6">
        <v>7157</v>
      </c>
      <c r="J48" s="6">
        <v>2415</v>
      </c>
      <c r="K48" s="6">
        <v>564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2:29" x14ac:dyDescent="0.2">
      <c r="C49" s="6">
        <f>SUM(C30:C48)</f>
        <v>783394</v>
      </c>
      <c r="D49" s="6">
        <f t="shared" ref="D49:K49" si="22">SUM(D30:D48)</f>
        <v>346474</v>
      </c>
      <c r="E49" s="6">
        <f t="shared" si="22"/>
        <v>607316</v>
      </c>
      <c r="F49" s="6">
        <f t="shared" si="22"/>
        <v>113344</v>
      </c>
      <c r="G49" s="6">
        <f t="shared" si="22"/>
        <v>117647</v>
      </c>
      <c r="H49" s="6">
        <f t="shared" si="22"/>
        <v>140931</v>
      </c>
      <c r="I49" s="6">
        <f t="shared" si="22"/>
        <v>402961</v>
      </c>
      <c r="J49" s="6">
        <f t="shared" si="22"/>
        <v>228063</v>
      </c>
      <c r="K49" s="6">
        <f t="shared" si="22"/>
        <v>137433</v>
      </c>
      <c r="L49" s="6">
        <f>SUM(L30:L48)</f>
        <v>800947</v>
      </c>
      <c r="M49" s="6">
        <f t="shared" ref="M49:T49" si="23">SUM(M30:M48)</f>
        <v>444681</v>
      </c>
      <c r="N49" s="6">
        <f t="shared" si="23"/>
        <v>732895</v>
      </c>
      <c r="O49" s="6">
        <f t="shared" si="23"/>
        <v>122797</v>
      </c>
      <c r="P49" s="6">
        <f t="shared" si="23"/>
        <v>94788</v>
      </c>
      <c r="Q49" s="6">
        <f t="shared" si="23"/>
        <v>70522</v>
      </c>
      <c r="R49" s="6">
        <f t="shared" si="23"/>
        <v>302017</v>
      </c>
      <c r="S49" s="6">
        <f t="shared" si="23"/>
        <v>176222</v>
      </c>
      <c r="T49" s="6">
        <f t="shared" si="23"/>
        <v>127910</v>
      </c>
      <c r="U49" s="6">
        <f>SUM(U30:U48)</f>
        <v>783394</v>
      </c>
      <c r="V49" s="6">
        <f t="shared" ref="V49:AC49" si="24">SUM(V30:V48)</f>
        <v>346474</v>
      </c>
      <c r="W49" s="6">
        <f t="shared" si="24"/>
        <v>607316</v>
      </c>
      <c r="X49" s="6">
        <f t="shared" si="24"/>
        <v>113344</v>
      </c>
      <c r="Y49" s="6">
        <f t="shared" si="24"/>
        <v>117647</v>
      </c>
      <c r="Z49" s="6">
        <f t="shared" si="24"/>
        <v>140931</v>
      </c>
      <c r="AA49" s="6">
        <f t="shared" si="24"/>
        <v>402961</v>
      </c>
      <c r="AB49" s="6">
        <f t="shared" si="24"/>
        <v>228063</v>
      </c>
      <c r="AC49" s="6">
        <f t="shared" si="24"/>
        <v>137433</v>
      </c>
    </row>
    <row r="50" spans="2:29" x14ac:dyDescent="0.2">
      <c r="B50" s="3" t="s">
        <v>132</v>
      </c>
      <c r="C50" s="6">
        <f>SUM(C49:K49)</f>
        <v>2877563</v>
      </c>
      <c r="L50" s="6">
        <f>SUM(L49:T49)</f>
        <v>2872779</v>
      </c>
      <c r="U50" s="6">
        <f>SUM(U49:AC49)</f>
        <v>2877563</v>
      </c>
    </row>
    <row r="51" spans="2:29" x14ac:dyDescent="0.2">
      <c r="U51" s="3">
        <f>U49/$U$50</f>
        <v>0.27224217158755515</v>
      </c>
      <c r="V51" s="3">
        <f t="shared" ref="V51:AC51" si="25">V49/$U$50</f>
        <v>0.12040535689401066</v>
      </c>
      <c r="W51" s="3">
        <f t="shared" si="25"/>
        <v>0.21105219937843236</v>
      </c>
      <c r="X51" s="3">
        <f t="shared" si="25"/>
        <v>3.9388885664710035E-2</v>
      </c>
      <c r="Y51" s="3">
        <f t="shared" si="25"/>
        <v>4.0884248233661609E-2</v>
      </c>
      <c r="Z51" s="3">
        <f t="shared" si="25"/>
        <v>4.8975817384363088E-2</v>
      </c>
      <c r="AA51" s="3">
        <f t="shared" si="25"/>
        <v>0.14003550921387298</v>
      </c>
      <c r="AB51" s="3">
        <f t="shared" si="25"/>
        <v>7.9255606219568439E-2</v>
      </c>
      <c r="AC51" s="3">
        <f t="shared" si="25"/>
        <v>4.7760205423825648E-2</v>
      </c>
    </row>
    <row r="53" spans="2:29" x14ac:dyDescent="0.2">
      <c r="C53" s="6">
        <v>54910</v>
      </c>
      <c r="D53" s="6">
        <v>30801</v>
      </c>
      <c r="E53" s="6">
        <v>39703</v>
      </c>
      <c r="F53" s="6">
        <v>8828</v>
      </c>
      <c r="G53" s="6">
        <v>3168</v>
      </c>
      <c r="H53" s="6">
        <v>1149</v>
      </c>
      <c r="I53" s="6">
        <v>6405</v>
      </c>
      <c r="J53" s="6">
        <v>3668</v>
      </c>
      <c r="K53" s="6">
        <v>5723</v>
      </c>
    </row>
    <row r="54" spans="2:29" x14ac:dyDescent="0.2">
      <c r="C54" s="6">
        <v>91364</v>
      </c>
      <c r="D54" s="6">
        <v>54658</v>
      </c>
      <c r="E54" s="6">
        <v>108860</v>
      </c>
      <c r="F54" s="6">
        <v>10377</v>
      </c>
      <c r="G54" s="6">
        <v>9804</v>
      </c>
      <c r="H54" s="6">
        <v>2365</v>
      </c>
      <c r="I54" s="6">
        <v>8111</v>
      </c>
      <c r="J54" s="6">
        <v>11305</v>
      </c>
      <c r="K54" s="6">
        <v>20217</v>
      </c>
    </row>
    <row r="55" spans="2:29" x14ac:dyDescent="0.2">
      <c r="C55" s="6">
        <v>106001</v>
      </c>
      <c r="D55" s="6">
        <v>40660</v>
      </c>
      <c r="E55" s="6">
        <v>103834</v>
      </c>
      <c r="F55" s="6">
        <v>9850</v>
      </c>
      <c r="G55" s="6">
        <v>19356</v>
      </c>
      <c r="H55" s="6">
        <v>11133</v>
      </c>
      <c r="I55" s="6">
        <v>2963</v>
      </c>
      <c r="J55" s="6">
        <v>21924</v>
      </c>
      <c r="K55" s="6">
        <v>28619</v>
      </c>
    </row>
    <row r="56" spans="2:29" x14ac:dyDescent="0.2">
      <c r="C56" s="6">
        <v>48694</v>
      </c>
      <c r="D56" s="6">
        <v>15316</v>
      </c>
      <c r="E56" s="6">
        <v>20600</v>
      </c>
      <c r="F56" s="6">
        <v>2871</v>
      </c>
      <c r="G56" s="6">
        <v>2224</v>
      </c>
      <c r="H56" s="6">
        <v>773</v>
      </c>
      <c r="I56" s="6">
        <v>11483</v>
      </c>
      <c r="J56" s="6">
        <v>4393</v>
      </c>
      <c r="K56" s="6">
        <v>3805</v>
      </c>
    </row>
    <row r="57" spans="2:29" x14ac:dyDescent="0.2">
      <c r="C57" s="6">
        <v>44050</v>
      </c>
      <c r="D57" s="6">
        <v>13683</v>
      </c>
      <c r="E57" s="6">
        <v>20537</v>
      </c>
      <c r="F57" s="6">
        <v>3418</v>
      </c>
      <c r="G57" s="6">
        <v>2583</v>
      </c>
      <c r="H57" s="6">
        <v>817</v>
      </c>
      <c r="I57" s="6">
        <v>13162</v>
      </c>
      <c r="J57" s="6">
        <v>3165</v>
      </c>
      <c r="K57" s="6">
        <v>4248</v>
      </c>
    </row>
    <row r="58" spans="2:29" x14ac:dyDescent="0.2">
      <c r="C58" s="6">
        <v>47572</v>
      </c>
      <c r="D58" s="6">
        <v>27854</v>
      </c>
      <c r="E58" s="6">
        <v>43515</v>
      </c>
      <c r="F58" s="6">
        <v>4863</v>
      </c>
      <c r="G58" s="6">
        <v>3345</v>
      </c>
      <c r="H58" s="6">
        <v>905</v>
      </c>
      <c r="I58" s="6">
        <v>9110</v>
      </c>
      <c r="J58" s="6">
        <v>4094</v>
      </c>
      <c r="K58" s="6">
        <v>6913</v>
      </c>
    </row>
    <row r="59" spans="2:29" x14ac:dyDescent="0.2">
      <c r="C59" s="6">
        <v>40869</v>
      </c>
      <c r="D59" s="6">
        <v>26977</v>
      </c>
      <c r="E59" s="6">
        <v>41357</v>
      </c>
      <c r="F59" s="6">
        <v>6735</v>
      </c>
      <c r="G59" s="6">
        <v>3407</v>
      </c>
      <c r="H59" s="6">
        <v>932</v>
      </c>
      <c r="I59" s="6">
        <v>4084</v>
      </c>
      <c r="J59" s="6">
        <v>5266</v>
      </c>
      <c r="K59" s="6">
        <v>6228</v>
      </c>
    </row>
    <row r="60" spans="2:29" x14ac:dyDescent="0.2">
      <c r="C60" s="6">
        <v>35963</v>
      </c>
      <c r="D60" s="6">
        <v>18564</v>
      </c>
      <c r="E60" s="6">
        <v>21300</v>
      </c>
      <c r="F60" s="6">
        <v>6610</v>
      </c>
      <c r="G60" s="6">
        <v>2116</v>
      </c>
      <c r="H60" s="6">
        <v>884</v>
      </c>
      <c r="I60" s="6">
        <v>4360</v>
      </c>
      <c r="J60" s="6">
        <v>3192</v>
      </c>
      <c r="K60" s="6">
        <v>3393</v>
      </c>
    </row>
    <row r="61" spans="2:29" x14ac:dyDescent="0.2">
      <c r="C61" s="6">
        <v>17623</v>
      </c>
      <c r="D61" s="6">
        <v>11278</v>
      </c>
      <c r="E61" s="6">
        <v>16303</v>
      </c>
      <c r="F61" s="6">
        <v>7019</v>
      </c>
      <c r="G61" s="6">
        <v>1242</v>
      </c>
      <c r="H61" s="6">
        <v>345</v>
      </c>
      <c r="I61" s="6">
        <v>2815</v>
      </c>
      <c r="J61" s="6">
        <v>1652</v>
      </c>
      <c r="K61" s="6">
        <v>3033</v>
      </c>
    </row>
    <row r="62" spans="2:29" x14ac:dyDescent="0.2">
      <c r="C62" s="6">
        <v>23227</v>
      </c>
      <c r="D62" s="6">
        <v>17863</v>
      </c>
      <c r="E62" s="6">
        <v>26818</v>
      </c>
      <c r="F62" s="6">
        <v>13536</v>
      </c>
      <c r="G62" s="6">
        <v>2196</v>
      </c>
      <c r="H62" s="6">
        <v>460</v>
      </c>
      <c r="I62" s="6">
        <v>2962</v>
      </c>
      <c r="J62" s="6">
        <v>2568</v>
      </c>
      <c r="K62" s="6">
        <v>4205</v>
      </c>
    </row>
    <row r="63" spans="2:29" x14ac:dyDescent="0.2">
      <c r="C63" s="6">
        <v>54462</v>
      </c>
      <c r="D63" s="6">
        <v>45082</v>
      </c>
      <c r="E63" s="6">
        <v>72470</v>
      </c>
      <c r="F63" s="6">
        <v>25585</v>
      </c>
      <c r="G63" s="6">
        <v>5267</v>
      </c>
      <c r="H63" s="6">
        <v>1060</v>
      </c>
      <c r="I63" s="6">
        <v>12621</v>
      </c>
      <c r="J63" s="6">
        <v>7908</v>
      </c>
      <c r="K63" s="6">
        <v>10827</v>
      </c>
    </row>
    <row r="64" spans="2:29" x14ac:dyDescent="0.2">
      <c r="C64" s="6">
        <v>71216</v>
      </c>
      <c r="D64" s="6">
        <v>43357</v>
      </c>
      <c r="E64" s="6">
        <v>89682</v>
      </c>
      <c r="F64" s="6">
        <v>22114</v>
      </c>
      <c r="G64" s="6">
        <v>9171</v>
      </c>
      <c r="H64" s="6">
        <v>2687</v>
      </c>
      <c r="I64" s="6">
        <v>12490</v>
      </c>
      <c r="J64" s="6">
        <v>14143</v>
      </c>
      <c r="K64" s="6">
        <v>16614</v>
      </c>
    </row>
    <row r="65" spans="3:11" x14ac:dyDescent="0.2">
      <c r="C65" s="6">
        <v>17183</v>
      </c>
      <c r="D65" s="6">
        <v>6608</v>
      </c>
      <c r="E65" s="6">
        <v>11635</v>
      </c>
      <c r="F65" s="6">
        <v>4952</v>
      </c>
      <c r="G65" s="6">
        <v>1032</v>
      </c>
      <c r="H65" s="6">
        <v>386</v>
      </c>
      <c r="I65" s="6">
        <v>12619</v>
      </c>
      <c r="J65" s="6">
        <v>2076</v>
      </c>
      <c r="K65" s="6">
        <v>3883</v>
      </c>
    </row>
    <row r="66" spans="3:11" x14ac:dyDescent="0.2">
      <c r="C66" s="6">
        <v>36048</v>
      </c>
      <c r="D66" s="6">
        <v>28746</v>
      </c>
      <c r="E66" s="6">
        <v>37594</v>
      </c>
      <c r="F66" s="6">
        <v>12786</v>
      </c>
      <c r="G66" s="6">
        <v>1963</v>
      </c>
      <c r="H66" s="6">
        <v>642</v>
      </c>
      <c r="I66" s="6">
        <v>11749</v>
      </c>
      <c r="J66" s="6">
        <v>3532</v>
      </c>
      <c r="K66" s="6">
        <v>7965</v>
      </c>
    </row>
    <row r="67" spans="3:11" x14ac:dyDescent="0.2">
      <c r="C67" s="6">
        <v>64351</v>
      </c>
      <c r="D67" s="6">
        <v>23871</v>
      </c>
      <c r="E67" s="6">
        <v>38930</v>
      </c>
      <c r="F67" s="6">
        <v>6562</v>
      </c>
      <c r="G67" s="6">
        <v>5540</v>
      </c>
      <c r="H67" s="6">
        <v>1667</v>
      </c>
      <c r="I67" s="6">
        <v>11351</v>
      </c>
      <c r="J67" s="6">
        <v>9992</v>
      </c>
      <c r="K67" s="6">
        <v>9460</v>
      </c>
    </row>
    <row r="68" spans="3:11" x14ac:dyDescent="0.2">
      <c r="C68" s="6">
        <v>32054</v>
      </c>
      <c r="D68" s="6">
        <v>9869</v>
      </c>
      <c r="E68" s="6">
        <v>11128</v>
      </c>
      <c r="F68" s="6">
        <v>2707</v>
      </c>
      <c r="G68" s="6">
        <v>1051</v>
      </c>
      <c r="H68" s="6">
        <v>423</v>
      </c>
      <c r="I68" s="6">
        <v>12796</v>
      </c>
      <c r="J68" s="6">
        <v>2596</v>
      </c>
      <c r="K68" s="6">
        <v>3158</v>
      </c>
    </row>
    <row r="69" spans="3:11" x14ac:dyDescent="0.2">
      <c r="C69" s="6">
        <v>46743</v>
      </c>
      <c r="D69" s="6">
        <v>25020</v>
      </c>
      <c r="E69" s="6">
        <v>28271</v>
      </c>
      <c r="F69" s="6">
        <v>4886</v>
      </c>
      <c r="G69" s="6">
        <v>2653</v>
      </c>
      <c r="H69" s="6">
        <v>2164</v>
      </c>
      <c r="I69" s="6">
        <v>9237</v>
      </c>
      <c r="J69" s="6">
        <v>6907</v>
      </c>
      <c r="K69" s="6">
        <v>4938</v>
      </c>
    </row>
    <row r="70" spans="3:11" x14ac:dyDescent="0.2">
      <c r="C70" s="6">
        <v>27436</v>
      </c>
      <c r="D70" s="6">
        <v>17315</v>
      </c>
      <c r="E70" s="6">
        <v>19663</v>
      </c>
      <c r="F70" s="6">
        <v>3659</v>
      </c>
      <c r="G70" s="6">
        <v>2190</v>
      </c>
      <c r="H70" s="6">
        <v>1608</v>
      </c>
      <c r="I70" s="6">
        <v>5636</v>
      </c>
      <c r="J70" s="6">
        <v>5688</v>
      </c>
      <c r="K70" s="6">
        <v>3687</v>
      </c>
    </row>
    <row r="71" spans="3:11" x14ac:dyDescent="0.2">
      <c r="C71" s="6">
        <v>15003</v>
      </c>
      <c r="D71" s="6">
        <v>6038</v>
      </c>
      <c r="E71" s="6">
        <v>8032</v>
      </c>
      <c r="F71" s="6">
        <v>1117</v>
      </c>
      <c r="G71" s="6">
        <v>844</v>
      </c>
      <c r="H71" s="6">
        <v>351</v>
      </c>
      <c r="I71" s="6">
        <v>1403</v>
      </c>
      <c r="J71" s="6">
        <v>1952</v>
      </c>
      <c r="K71" s="6">
        <v>1359</v>
      </c>
    </row>
  </sheetData>
  <mergeCells count="3">
    <mergeCell ref="C1:K1"/>
    <mergeCell ref="L1:T1"/>
    <mergeCell ref="U1:AC1"/>
  </mergeCells>
  <pageMargins left="0.75" right="0.75" top="0.75" bottom="0.5" header="0.5" footer="0.7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FB1D-2A1F-6349-A003-D5D6D3303D2B}">
  <sheetPr codeName="Ark11"/>
  <dimension ref="B2:L26"/>
  <sheetViews>
    <sheetView workbookViewId="0">
      <selection activeCell="D18" sqref="D18:D26"/>
    </sheetView>
  </sheetViews>
  <sheetFormatPr baseColWidth="10" defaultRowHeight="15" x14ac:dyDescent="0.2"/>
  <sheetData>
    <row r="2" spans="2:12" x14ac:dyDescent="0.2">
      <c r="B2" s="83"/>
      <c r="C2" s="83" t="s">
        <v>119</v>
      </c>
      <c r="D2" s="83" t="s">
        <v>66</v>
      </c>
      <c r="E2" s="83" t="s">
        <v>120</v>
      </c>
      <c r="F2" s="83" t="s">
        <v>121</v>
      </c>
      <c r="G2" s="83" t="s">
        <v>62</v>
      </c>
      <c r="H2" s="83" t="s">
        <v>122</v>
      </c>
      <c r="I2" s="83" t="s">
        <v>63</v>
      </c>
      <c r="J2" s="83" t="s">
        <v>123</v>
      </c>
      <c r="K2" s="83" t="s">
        <v>124</v>
      </c>
      <c r="L2" s="83" t="s">
        <v>86</v>
      </c>
    </row>
    <row r="3" spans="2:12" ht="21" x14ac:dyDescent="0.25">
      <c r="B3" s="83" t="s">
        <v>119</v>
      </c>
      <c r="C3" s="84"/>
      <c r="D3" s="85">
        <v>54000</v>
      </c>
      <c r="E3" s="85">
        <v>30000</v>
      </c>
      <c r="F3" s="85">
        <v>-21000</v>
      </c>
      <c r="G3" s="85">
        <v>17000</v>
      </c>
      <c r="H3" s="85">
        <v>-2000</v>
      </c>
      <c r="I3" s="85">
        <v>10000</v>
      </c>
      <c r="J3" s="85">
        <v>-5000</v>
      </c>
      <c r="K3" s="85">
        <v>14000</v>
      </c>
      <c r="L3" s="85">
        <v>5000</v>
      </c>
    </row>
    <row r="4" spans="2:12" ht="21" x14ac:dyDescent="0.25">
      <c r="B4" s="83" t="s">
        <v>66</v>
      </c>
      <c r="C4" s="85">
        <v>-54000</v>
      </c>
      <c r="D4" s="84"/>
      <c r="E4" s="85">
        <v>56000</v>
      </c>
      <c r="F4" s="85">
        <v>-25000</v>
      </c>
      <c r="G4" s="85">
        <v>-5000</v>
      </c>
      <c r="H4" s="85">
        <v>-7000</v>
      </c>
      <c r="I4" s="85">
        <v>-11000</v>
      </c>
      <c r="J4" s="85">
        <v>-5000</v>
      </c>
      <c r="K4" s="85">
        <v>2000</v>
      </c>
      <c r="L4" s="85">
        <v>8000</v>
      </c>
    </row>
    <row r="5" spans="2:12" ht="21" x14ac:dyDescent="0.25">
      <c r="B5" s="83" t="s">
        <v>120</v>
      </c>
      <c r="C5" s="85">
        <v>-30000</v>
      </c>
      <c r="D5" s="85">
        <v>-56000</v>
      </c>
      <c r="E5" s="84"/>
      <c r="F5" s="85">
        <v>-51000</v>
      </c>
      <c r="G5" s="85">
        <v>-3000</v>
      </c>
      <c r="H5" s="85">
        <v>-8000</v>
      </c>
      <c r="I5" s="85">
        <v>-5000</v>
      </c>
      <c r="J5" s="85">
        <v>-1000</v>
      </c>
      <c r="K5" s="85">
        <v>-2000</v>
      </c>
      <c r="L5" s="85">
        <v>1000</v>
      </c>
    </row>
    <row r="6" spans="2:12" ht="21" x14ac:dyDescent="0.25">
      <c r="B6" s="83" t="s">
        <v>121</v>
      </c>
      <c r="C6" s="85">
        <v>21000</v>
      </c>
      <c r="D6" s="85">
        <v>25000</v>
      </c>
      <c r="E6" s="85">
        <v>51000</v>
      </c>
      <c r="F6" s="84"/>
      <c r="G6" s="85">
        <v>4000</v>
      </c>
      <c r="H6" s="85">
        <v>1000</v>
      </c>
      <c r="I6" s="85">
        <v>4000</v>
      </c>
      <c r="J6" s="85">
        <v>-1000</v>
      </c>
      <c r="K6" s="85">
        <v>10000</v>
      </c>
      <c r="L6" s="85">
        <v>13000</v>
      </c>
    </row>
    <row r="7" spans="2:12" ht="21" x14ac:dyDescent="0.25">
      <c r="B7" s="83" t="s">
        <v>62</v>
      </c>
      <c r="C7" s="85">
        <v>-17000</v>
      </c>
      <c r="D7" s="85">
        <v>5000</v>
      </c>
      <c r="E7" s="85">
        <v>3000</v>
      </c>
      <c r="F7" s="85">
        <v>-4000</v>
      </c>
      <c r="G7" s="84"/>
      <c r="H7" s="85">
        <v>-1000</v>
      </c>
      <c r="I7" s="85">
        <v>-2000</v>
      </c>
      <c r="J7" s="85">
        <v>-9000</v>
      </c>
      <c r="K7" s="85">
        <v>-3000</v>
      </c>
      <c r="L7" s="85">
        <v>1000</v>
      </c>
    </row>
    <row r="8" spans="2:12" ht="21" x14ac:dyDescent="0.25">
      <c r="B8" s="83" t="s">
        <v>122</v>
      </c>
      <c r="C8" s="85">
        <v>2000</v>
      </c>
      <c r="D8" s="85">
        <v>7000</v>
      </c>
      <c r="E8" s="85">
        <v>8000</v>
      </c>
      <c r="F8" s="85">
        <v>-1000</v>
      </c>
      <c r="G8" s="85">
        <v>1000</v>
      </c>
      <c r="H8" s="84"/>
      <c r="I8" s="85">
        <v>-1000</v>
      </c>
      <c r="J8" s="84">
        <v>0</v>
      </c>
      <c r="K8" s="84">
        <v>0</v>
      </c>
      <c r="L8" s="85">
        <v>4000</v>
      </c>
    </row>
    <row r="9" spans="2:12" ht="21" x14ac:dyDescent="0.25">
      <c r="B9" s="83" t="s">
        <v>63</v>
      </c>
      <c r="C9" s="85">
        <v>-10000</v>
      </c>
      <c r="D9" s="85">
        <v>11000</v>
      </c>
      <c r="E9" s="85">
        <v>5000</v>
      </c>
      <c r="F9" s="85">
        <v>-4000</v>
      </c>
      <c r="G9" s="85">
        <v>2000</v>
      </c>
      <c r="H9" s="85">
        <v>1000</v>
      </c>
      <c r="I9" s="84"/>
      <c r="J9" s="85">
        <v>-8000</v>
      </c>
      <c r="K9" s="85">
        <v>-1000</v>
      </c>
      <c r="L9" s="85">
        <v>-3000</v>
      </c>
    </row>
    <row r="10" spans="2:12" ht="21" x14ac:dyDescent="0.25">
      <c r="B10" s="83" t="s">
        <v>123</v>
      </c>
      <c r="C10" s="85">
        <v>5000</v>
      </c>
      <c r="D10" s="85">
        <v>5000</v>
      </c>
      <c r="E10" s="85">
        <v>1000</v>
      </c>
      <c r="F10" s="85">
        <v>1000</v>
      </c>
      <c r="G10" s="85">
        <v>9000</v>
      </c>
      <c r="H10" s="84">
        <v>0</v>
      </c>
      <c r="I10" s="85">
        <v>8000</v>
      </c>
      <c r="J10" s="84"/>
      <c r="K10" s="85">
        <v>-1000</v>
      </c>
      <c r="L10" s="85">
        <v>1000</v>
      </c>
    </row>
    <row r="11" spans="2:12" ht="21" x14ac:dyDescent="0.25">
      <c r="B11" s="83" t="s">
        <v>124</v>
      </c>
      <c r="C11" s="85">
        <v>-14000</v>
      </c>
      <c r="D11" s="85">
        <v>-2000</v>
      </c>
      <c r="E11" s="85">
        <v>2000</v>
      </c>
      <c r="F11" s="85">
        <v>-10000</v>
      </c>
      <c r="G11" s="85">
        <v>3000</v>
      </c>
      <c r="H11" s="84">
        <v>0</v>
      </c>
      <c r="I11" s="85">
        <v>1000</v>
      </c>
      <c r="J11" s="85">
        <v>1000</v>
      </c>
      <c r="K11" s="84"/>
      <c r="L11" s="85">
        <v>1000</v>
      </c>
    </row>
    <row r="12" spans="2:12" ht="21" x14ac:dyDescent="0.25">
      <c r="B12" s="83" t="s">
        <v>86</v>
      </c>
      <c r="C12" s="85">
        <v>-5000</v>
      </c>
      <c r="D12" s="85">
        <v>-8000</v>
      </c>
      <c r="E12" s="85">
        <v>-1000</v>
      </c>
      <c r="F12" s="85">
        <v>-13000</v>
      </c>
      <c r="G12" s="85">
        <v>-1000</v>
      </c>
      <c r="H12" s="85">
        <v>-4000</v>
      </c>
      <c r="I12" s="85">
        <v>3000</v>
      </c>
      <c r="J12" s="85">
        <v>-1000</v>
      </c>
      <c r="K12" s="85">
        <v>-1000</v>
      </c>
      <c r="L12" s="84"/>
    </row>
    <row r="18" spans="3:4" ht="31" x14ac:dyDescent="0.35">
      <c r="C18" s="87">
        <v>0.17230691383920901</v>
      </c>
      <c r="D18" s="63">
        <v>0.17230691383920901</v>
      </c>
    </row>
    <row r="19" spans="3:4" ht="31" x14ac:dyDescent="0.35">
      <c r="C19" s="87">
        <v>0.25586970753025101</v>
      </c>
      <c r="D19" s="63">
        <v>0.25586970753025101</v>
      </c>
    </row>
    <row r="20" spans="3:4" ht="31" x14ac:dyDescent="0.35">
      <c r="C20" s="87">
        <v>0.20870716349412399</v>
      </c>
      <c r="D20" s="63">
        <v>0.20870716349412399</v>
      </c>
    </row>
    <row r="21" spans="3:4" ht="31" x14ac:dyDescent="0.35">
      <c r="C21" s="87">
        <v>3.9457666209285598E-2</v>
      </c>
      <c r="D21" s="63">
        <v>3.9457666209285598E-2</v>
      </c>
    </row>
    <row r="22" spans="3:4" ht="31" x14ac:dyDescent="0.35">
      <c r="C22" s="87">
        <v>3.0945810407855601E-2</v>
      </c>
      <c r="D22" s="63">
        <v>3.0945810407855601E-2</v>
      </c>
    </row>
    <row r="23" spans="3:4" ht="31" x14ac:dyDescent="0.35">
      <c r="C23" s="87">
        <v>5.7949171386493602E-2</v>
      </c>
      <c r="D23" s="63">
        <v>5.7949171386493602E-2</v>
      </c>
    </row>
    <row r="24" spans="3:4" ht="31" x14ac:dyDescent="0.35">
      <c r="C24" s="87">
        <v>5.0678685216396797E-2</v>
      </c>
      <c r="D24" s="63">
        <v>5.0678685216396797E-2</v>
      </c>
    </row>
    <row r="25" spans="3:4" ht="31" x14ac:dyDescent="0.35">
      <c r="C25" s="87">
        <v>8.8774036764650399E-2</v>
      </c>
      <c r="D25" s="63">
        <v>8.8774036764650399E-2</v>
      </c>
    </row>
    <row r="26" spans="3:4" ht="31" x14ac:dyDescent="0.35">
      <c r="C26" s="87">
        <v>5.1074312751342298E-2</v>
      </c>
      <c r="D26" s="63">
        <v>5.1074312751342298E-2</v>
      </c>
    </row>
  </sheetData>
  <conditionalFormatting sqref="C3:L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9130-5E32-114D-BD6D-7AD6132F123E}">
  <sheetPr codeName="Ark12"/>
  <dimension ref="B3:G38"/>
  <sheetViews>
    <sheetView workbookViewId="0">
      <selection activeCell="C24" sqref="C24"/>
    </sheetView>
  </sheetViews>
  <sheetFormatPr baseColWidth="10" defaultRowHeight="15" x14ac:dyDescent="0.2"/>
  <sheetData>
    <row r="3" spans="2:7" x14ac:dyDescent="0.2">
      <c r="B3" t="s">
        <v>125</v>
      </c>
      <c r="C3" t="s">
        <v>126</v>
      </c>
      <c r="D3" t="s">
        <v>127</v>
      </c>
    </row>
    <row r="4" spans="2:7" x14ac:dyDescent="0.2">
      <c r="B4" s="34">
        <v>0</v>
      </c>
      <c r="C4" s="34">
        <f>1-B4</f>
        <v>1</v>
      </c>
      <c r="D4" s="89">
        <f>4*(B4*C4)^$G$4</f>
        <v>0</v>
      </c>
      <c r="F4" t="s">
        <v>128</v>
      </c>
      <c r="G4">
        <v>1</v>
      </c>
    </row>
    <row r="5" spans="2:7" x14ac:dyDescent="0.2">
      <c r="B5" s="34">
        <v>0.1</v>
      </c>
      <c r="C5" s="34">
        <f t="shared" ref="C5:C14" si="0">1-B5</f>
        <v>0.9</v>
      </c>
      <c r="D5" s="89">
        <f t="shared" ref="D5:D14" si="1">4*(B5*C5)^$G$4</f>
        <v>0.36000000000000004</v>
      </c>
    </row>
    <row r="6" spans="2:7" x14ac:dyDescent="0.2">
      <c r="B6" s="34">
        <v>0.2</v>
      </c>
      <c r="C6" s="34">
        <f t="shared" si="0"/>
        <v>0.8</v>
      </c>
      <c r="D6" s="89">
        <f t="shared" si="1"/>
        <v>0.64000000000000012</v>
      </c>
    </row>
    <row r="7" spans="2:7" x14ac:dyDescent="0.2">
      <c r="B7" s="34">
        <v>0.3</v>
      </c>
      <c r="C7" s="34">
        <f t="shared" si="0"/>
        <v>0.7</v>
      </c>
      <c r="D7" s="89">
        <f t="shared" si="1"/>
        <v>0.84</v>
      </c>
    </row>
    <row r="8" spans="2:7" x14ac:dyDescent="0.2">
      <c r="B8" s="34">
        <v>0.4</v>
      </c>
      <c r="C8" s="34">
        <f t="shared" si="0"/>
        <v>0.6</v>
      </c>
      <c r="D8" s="89">
        <f t="shared" si="1"/>
        <v>0.96</v>
      </c>
    </row>
    <row r="9" spans="2:7" x14ac:dyDescent="0.2">
      <c r="B9" s="34">
        <v>0.5</v>
      </c>
      <c r="C9" s="34">
        <f t="shared" si="0"/>
        <v>0.5</v>
      </c>
      <c r="D9" s="89">
        <f t="shared" si="1"/>
        <v>1</v>
      </c>
    </row>
    <row r="10" spans="2:7" x14ac:dyDescent="0.2">
      <c r="B10" s="34">
        <v>0.6</v>
      </c>
      <c r="C10" s="34">
        <f t="shared" si="0"/>
        <v>0.4</v>
      </c>
      <c r="D10" s="89">
        <f t="shared" si="1"/>
        <v>0.96</v>
      </c>
    </row>
    <row r="11" spans="2:7" x14ac:dyDescent="0.2">
      <c r="B11" s="34">
        <v>0.7</v>
      </c>
      <c r="C11" s="34">
        <f t="shared" si="0"/>
        <v>0.30000000000000004</v>
      </c>
      <c r="D11" s="89">
        <f t="shared" si="1"/>
        <v>0.84000000000000008</v>
      </c>
    </row>
    <row r="12" spans="2:7" x14ac:dyDescent="0.2">
      <c r="B12" s="34">
        <v>0.8</v>
      </c>
      <c r="C12" s="34">
        <f t="shared" si="0"/>
        <v>0.19999999999999996</v>
      </c>
      <c r="D12" s="89">
        <f t="shared" si="1"/>
        <v>0.6399999999999999</v>
      </c>
    </row>
    <row r="13" spans="2:7" x14ac:dyDescent="0.2">
      <c r="B13" s="34">
        <v>0.9</v>
      </c>
      <c r="C13" s="34">
        <f t="shared" si="0"/>
        <v>9.9999999999999978E-2</v>
      </c>
      <c r="D13" s="89">
        <f t="shared" si="1"/>
        <v>0.35999999999999993</v>
      </c>
    </row>
    <row r="14" spans="2:7" x14ac:dyDescent="0.2">
      <c r="B14" s="34">
        <v>1</v>
      </c>
      <c r="C14" s="34">
        <f t="shared" si="0"/>
        <v>0</v>
      </c>
      <c r="D14" s="89">
        <f t="shared" si="1"/>
        <v>0</v>
      </c>
    </row>
    <row r="20" spans="2:3" x14ac:dyDescent="0.2">
      <c r="B20" s="22" t="s">
        <v>35</v>
      </c>
      <c r="C20" t="s">
        <v>20</v>
      </c>
    </row>
    <row r="21" spans="2:3" x14ac:dyDescent="0.2">
      <c r="B21" s="22" t="s">
        <v>36</v>
      </c>
      <c r="C21" t="s">
        <v>2</v>
      </c>
    </row>
    <row r="22" spans="2:3" x14ac:dyDescent="0.2">
      <c r="B22" s="22" t="s">
        <v>37</v>
      </c>
      <c r="C22" t="s">
        <v>3</v>
      </c>
    </row>
    <row r="23" spans="2:3" x14ac:dyDescent="0.2">
      <c r="B23" s="22" t="s">
        <v>38</v>
      </c>
      <c r="C23" t="s">
        <v>4</v>
      </c>
    </row>
    <row r="24" spans="2:3" x14ac:dyDescent="0.2">
      <c r="B24" s="22" t="s">
        <v>39</v>
      </c>
      <c r="C24" t="s">
        <v>5</v>
      </c>
    </row>
    <row r="25" spans="2:3" x14ac:dyDescent="0.2">
      <c r="B25" s="22" t="s">
        <v>40</v>
      </c>
    </row>
    <row r="26" spans="2:3" x14ac:dyDescent="0.2">
      <c r="B26" s="22" t="s">
        <v>41</v>
      </c>
    </row>
    <row r="27" spans="2:3" x14ac:dyDescent="0.2">
      <c r="B27" s="22" t="s">
        <v>42</v>
      </c>
    </row>
    <row r="28" spans="2:3" x14ac:dyDescent="0.2">
      <c r="B28" s="22" t="s">
        <v>43</v>
      </c>
    </row>
    <row r="29" spans="2:3" x14ac:dyDescent="0.2">
      <c r="B29" s="22" t="s">
        <v>44</v>
      </c>
    </row>
    <row r="30" spans="2:3" x14ac:dyDescent="0.2">
      <c r="B30" s="22" t="s">
        <v>45</v>
      </c>
    </row>
    <row r="31" spans="2:3" x14ac:dyDescent="0.2">
      <c r="B31" s="22" t="s">
        <v>46</v>
      </c>
    </row>
    <row r="32" spans="2:3" x14ac:dyDescent="0.2">
      <c r="B32" s="22" t="s">
        <v>47</v>
      </c>
    </row>
    <row r="33" spans="2:2" x14ac:dyDescent="0.2">
      <c r="B33" s="22" t="s">
        <v>48</v>
      </c>
    </row>
    <row r="34" spans="2:2" x14ac:dyDescent="0.2">
      <c r="B34" s="22" t="s">
        <v>49</v>
      </c>
    </row>
    <row r="35" spans="2:2" x14ac:dyDescent="0.2">
      <c r="B35" s="22" t="s">
        <v>50</v>
      </c>
    </row>
    <row r="36" spans="2:2" x14ac:dyDescent="0.2">
      <c r="B36" s="22" t="s">
        <v>51</v>
      </c>
    </row>
    <row r="37" spans="2:2" x14ac:dyDescent="0.2">
      <c r="B37" s="22" t="s">
        <v>52</v>
      </c>
    </row>
    <row r="38" spans="2:2" x14ac:dyDescent="0.2">
      <c r="B38" s="22" t="s">
        <v>53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K34"/>
  <sheetViews>
    <sheetView topLeftCell="G2" zoomScale="150" workbookViewId="0">
      <selection activeCell="F7" sqref="F7"/>
    </sheetView>
  </sheetViews>
  <sheetFormatPr baseColWidth="10" defaultRowHeight="15" x14ac:dyDescent="0.2"/>
  <cols>
    <col min="1" max="1" width="17.6640625" bestFit="1" customWidth="1"/>
    <col min="2" max="2" width="12" bestFit="1" customWidth="1"/>
  </cols>
  <sheetData>
    <row r="3" spans="1:11" ht="117" x14ac:dyDescent="0.2">
      <c r="B3" s="41" t="s">
        <v>25</v>
      </c>
      <c r="C3" s="41" t="s">
        <v>26</v>
      </c>
      <c r="D3" s="41" t="s">
        <v>27</v>
      </c>
      <c r="E3" s="41" t="s">
        <v>28</v>
      </c>
      <c r="F3" s="41" t="s">
        <v>29</v>
      </c>
      <c r="G3" s="41" t="s">
        <v>30</v>
      </c>
      <c r="H3" s="41" t="s">
        <v>31</v>
      </c>
      <c r="I3" s="41" t="s">
        <v>32</v>
      </c>
      <c r="J3" s="41" t="s">
        <v>33</v>
      </c>
      <c r="K3" s="41" t="s">
        <v>86</v>
      </c>
    </row>
    <row r="4" spans="1:11" x14ac:dyDescent="0.2">
      <c r="A4" s="33">
        <v>2021</v>
      </c>
      <c r="B4" s="17" t="s">
        <v>25</v>
      </c>
      <c r="C4" s="17" t="s">
        <v>26</v>
      </c>
      <c r="D4" s="17" t="s">
        <v>27</v>
      </c>
      <c r="E4" s="17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</row>
    <row r="5" spans="1:11" x14ac:dyDescent="0.2">
      <c r="A5" t="s">
        <v>102</v>
      </c>
      <c r="B5" s="64">
        <v>0.24</v>
      </c>
      <c r="C5" s="64">
        <v>0.10299999999999999</v>
      </c>
      <c r="D5" s="64">
        <v>0.20100000000000001</v>
      </c>
      <c r="E5" s="64">
        <v>3.5999999999999997E-2</v>
      </c>
      <c r="F5" s="64">
        <v>5.5E-2</v>
      </c>
      <c r="G5" s="64">
        <v>5.1999999999999998E-2</v>
      </c>
      <c r="H5" s="64">
        <v>0.14099999999999999</v>
      </c>
      <c r="I5" s="64">
        <v>8.7999999999999995E-2</v>
      </c>
      <c r="J5" s="64">
        <v>4.1000000000000002E-2</v>
      </c>
    </row>
    <row r="6" spans="1:11" x14ac:dyDescent="0.2">
      <c r="A6" t="s">
        <v>103</v>
      </c>
      <c r="B6" s="64">
        <v>0.26250000000000001</v>
      </c>
      <c r="C6" s="64">
        <v>0.11609999999999999</v>
      </c>
      <c r="D6" s="64">
        <v>0.20349999999999999</v>
      </c>
      <c r="E6" s="64">
        <v>3.7999999999999999E-2</v>
      </c>
      <c r="F6" s="64">
        <v>3.9399999999999998E-2</v>
      </c>
      <c r="G6" s="64">
        <v>4.7199999999999999E-2</v>
      </c>
      <c r="H6" s="64">
        <v>0.13500000000000001</v>
      </c>
      <c r="I6" s="64">
        <v>7.6399999999999996E-2</v>
      </c>
      <c r="J6" s="64">
        <v>4.6100000000000002E-2</v>
      </c>
    </row>
    <row r="7" spans="1:11" x14ac:dyDescent="0.2">
      <c r="A7" t="s">
        <v>104</v>
      </c>
      <c r="B7" s="64">
        <f>B6-B5</f>
        <v>2.250000000000002E-2</v>
      </c>
      <c r="C7" s="64">
        <f t="shared" ref="C7:J7" si="0">C6-C5</f>
        <v>1.3100000000000001E-2</v>
      </c>
      <c r="D7" s="64">
        <f t="shared" si="0"/>
        <v>2.4999999999999745E-3</v>
      </c>
      <c r="E7" s="64">
        <f t="shared" si="0"/>
        <v>2.0000000000000018E-3</v>
      </c>
      <c r="F7" s="64">
        <f t="shared" si="0"/>
        <v>-1.5600000000000003E-2</v>
      </c>
      <c r="G7" s="64">
        <f t="shared" si="0"/>
        <v>-4.7999999999999987E-3</v>
      </c>
      <c r="H7" s="64">
        <f t="shared" si="0"/>
        <v>-5.9999999999999776E-3</v>
      </c>
      <c r="I7" s="64">
        <f t="shared" si="0"/>
        <v>-1.1599999999999999E-2</v>
      </c>
      <c r="J7" s="64">
        <f t="shared" si="0"/>
        <v>5.1000000000000004E-3</v>
      </c>
    </row>
    <row r="9" spans="1:11" x14ac:dyDescent="0.2">
      <c r="A9" s="33">
        <v>2017</v>
      </c>
      <c r="B9" s="17" t="s">
        <v>25</v>
      </c>
      <c r="C9" s="17" t="s">
        <v>26</v>
      </c>
      <c r="D9" s="17" t="s">
        <v>27</v>
      </c>
      <c r="E9" s="17" t="s">
        <v>28</v>
      </c>
      <c r="F9" s="17" t="s">
        <v>29</v>
      </c>
      <c r="G9" s="17" t="s">
        <v>30</v>
      </c>
      <c r="H9" s="17" t="s">
        <v>31</v>
      </c>
      <c r="I9" s="17" t="s">
        <v>32</v>
      </c>
      <c r="J9" s="17" t="s">
        <v>33</v>
      </c>
    </row>
    <row r="10" spans="1:11" x14ac:dyDescent="0.2">
      <c r="A10" t="s">
        <v>105</v>
      </c>
      <c r="B10" s="64">
        <v>0.27900000000000003</v>
      </c>
      <c r="C10" s="64">
        <v>0.14499999999999999</v>
      </c>
      <c r="D10" s="64">
        <v>0.23799999999999999</v>
      </c>
      <c r="E10" s="64">
        <v>4.8000000000000001E-2</v>
      </c>
      <c r="F10" s="64">
        <v>0.04</v>
      </c>
      <c r="G10" s="64">
        <v>0.03</v>
      </c>
      <c r="H10" s="64">
        <v>0.107</v>
      </c>
      <c r="I10" s="64">
        <v>5.6000000000000001E-2</v>
      </c>
      <c r="J10" s="64">
        <v>3.5999999999999997E-2</v>
      </c>
    </row>
    <row r="11" spans="1:11" x14ac:dyDescent="0.2">
      <c r="A11" t="s">
        <v>103</v>
      </c>
      <c r="B11" s="64">
        <v>0.2737</v>
      </c>
      <c r="C11" s="64">
        <v>0.15190000000000001</v>
      </c>
      <c r="D11" s="64">
        <v>0.25040000000000001</v>
      </c>
      <c r="E11" s="64">
        <v>4.2000000000000003E-2</v>
      </c>
      <c r="F11" s="64">
        <v>3.2399999999999998E-2</v>
      </c>
      <c r="G11" s="64">
        <v>2.41E-2</v>
      </c>
      <c r="H11" s="64">
        <v>0.1032</v>
      </c>
      <c r="I11" s="64">
        <v>6.0199999999999997E-2</v>
      </c>
      <c r="J11" s="64">
        <v>4.3700000000000003E-2</v>
      </c>
    </row>
    <row r="12" spans="1:11" x14ac:dyDescent="0.2">
      <c r="A12" t="s">
        <v>104</v>
      </c>
      <c r="B12" s="64">
        <f>B11-B10</f>
        <v>-5.3000000000000269E-3</v>
      </c>
      <c r="C12" s="64">
        <f t="shared" ref="C12" si="1">C11-C10</f>
        <v>6.9000000000000172E-3</v>
      </c>
      <c r="D12" s="64">
        <f t="shared" ref="D12" si="2">D11-D10</f>
        <v>1.2400000000000022E-2</v>
      </c>
      <c r="E12" s="64">
        <f t="shared" ref="E12" si="3">E11-E10</f>
        <v>-5.9999999999999984E-3</v>
      </c>
      <c r="F12" s="64">
        <f t="shared" ref="F12" si="4">F11-F10</f>
        <v>-7.6000000000000026E-3</v>
      </c>
      <c r="G12" s="64">
        <f t="shared" ref="G12" si="5">G11-G10</f>
        <v>-5.899999999999999E-3</v>
      </c>
      <c r="H12" s="64">
        <f t="shared" ref="H12" si="6">H11-H10</f>
        <v>-3.7999999999999978E-3</v>
      </c>
      <c r="I12" s="64">
        <f t="shared" ref="I12" si="7">I11-I10</f>
        <v>4.1999999999999954E-3</v>
      </c>
      <c r="J12" s="64">
        <f t="shared" ref="J12" si="8">J11-J10</f>
        <v>7.7000000000000055E-3</v>
      </c>
    </row>
    <row r="14" spans="1:11" x14ac:dyDescent="0.2">
      <c r="A14" s="33">
        <v>2013</v>
      </c>
      <c r="B14" s="17" t="s">
        <v>25</v>
      </c>
      <c r="C14" s="17" t="s">
        <v>26</v>
      </c>
      <c r="D14" s="17" t="s">
        <v>27</v>
      </c>
      <c r="E14" s="17" t="s">
        <v>28</v>
      </c>
      <c r="F14" s="17" t="s">
        <v>29</v>
      </c>
      <c r="G14" s="17" t="s">
        <v>30</v>
      </c>
      <c r="H14" s="17" t="s">
        <v>31</v>
      </c>
      <c r="I14" s="17" t="s">
        <v>32</v>
      </c>
      <c r="J14" s="17" t="s">
        <v>33</v>
      </c>
    </row>
    <row r="15" spans="1:11" x14ac:dyDescent="0.2">
      <c r="A15" t="s">
        <v>131</v>
      </c>
      <c r="B15" s="64">
        <v>0.28999999999999998</v>
      </c>
      <c r="C15" s="64">
        <v>0.152</v>
      </c>
      <c r="D15" s="64">
        <v>0.28899999999999998</v>
      </c>
      <c r="E15" s="64">
        <v>5.3999999999999999E-2</v>
      </c>
      <c r="F15" s="64">
        <v>3.5000000000000003E-2</v>
      </c>
      <c r="G15" s="64">
        <v>1.4999999999999999E-2</v>
      </c>
      <c r="H15" s="64">
        <v>5.2999999999999999E-2</v>
      </c>
      <c r="I15" s="64">
        <v>4.2999999999999997E-2</v>
      </c>
      <c r="J15" s="64">
        <v>5.2999999999999999E-2</v>
      </c>
    </row>
    <row r="16" spans="1:11" x14ac:dyDescent="0.2">
      <c r="A16" t="s">
        <v>103</v>
      </c>
      <c r="B16" s="64">
        <v>0.308</v>
      </c>
      <c r="C16" s="64">
        <v>0.16300000000000001</v>
      </c>
      <c r="D16" s="64">
        <v>0.26800000000000002</v>
      </c>
      <c r="E16" s="64">
        <v>5.6000000000000001E-2</v>
      </c>
      <c r="F16" s="64">
        <v>2.8000000000000001E-2</v>
      </c>
      <c r="G16" s="64">
        <v>1.0999999999999999E-2</v>
      </c>
      <c r="H16" s="64">
        <v>5.5E-2</v>
      </c>
      <c r="I16" s="64">
        <v>4.1000000000000002E-2</v>
      </c>
      <c r="J16" s="64">
        <v>5.1999999999999998E-2</v>
      </c>
    </row>
    <row r="17" spans="1:10" x14ac:dyDescent="0.2">
      <c r="A17" t="s">
        <v>104</v>
      </c>
      <c r="B17" s="64">
        <f>B16-B15</f>
        <v>1.8000000000000016E-2</v>
      </c>
      <c r="C17" s="64">
        <f t="shared" ref="C17" si="9">C16-C15</f>
        <v>1.100000000000001E-2</v>
      </c>
      <c r="D17" s="64">
        <f t="shared" ref="D17" si="10">D16-D15</f>
        <v>-2.0999999999999963E-2</v>
      </c>
      <c r="E17" s="64">
        <f t="shared" ref="E17" si="11">E16-E15</f>
        <v>2.0000000000000018E-3</v>
      </c>
      <c r="F17" s="64">
        <f t="shared" ref="F17" si="12">F16-F15</f>
        <v>-7.0000000000000027E-3</v>
      </c>
      <c r="G17" s="64">
        <f t="shared" ref="G17" si="13">G16-G15</f>
        <v>-4.0000000000000001E-3</v>
      </c>
      <c r="H17" s="64">
        <f t="shared" ref="H17" si="14">H16-H15</f>
        <v>2.0000000000000018E-3</v>
      </c>
      <c r="I17" s="64">
        <f t="shared" ref="I17" si="15">I16-I15</f>
        <v>-1.9999999999999948E-3</v>
      </c>
      <c r="J17" s="64">
        <f t="shared" ref="J17" si="16">J16-J15</f>
        <v>-1.0000000000000009E-3</v>
      </c>
    </row>
    <row r="20" spans="1:10" x14ac:dyDescent="0.2">
      <c r="A20">
        <v>2021</v>
      </c>
      <c r="B20" s="63">
        <f>ABS(B7)</f>
        <v>2.250000000000002E-2</v>
      </c>
      <c r="C20" s="63">
        <f t="shared" ref="C20:J20" si="17">ABS(C7)</f>
        <v>1.3100000000000001E-2</v>
      </c>
      <c r="D20" s="63">
        <f t="shared" si="17"/>
        <v>2.4999999999999745E-3</v>
      </c>
      <c r="E20" s="63">
        <f t="shared" si="17"/>
        <v>2.0000000000000018E-3</v>
      </c>
      <c r="F20" s="63">
        <f t="shared" si="17"/>
        <v>1.5600000000000003E-2</v>
      </c>
      <c r="G20" s="63">
        <f t="shared" si="17"/>
        <v>4.7999999999999987E-3</v>
      </c>
      <c r="H20" s="63">
        <f t="shared" si="17"/>
        <v>5.9999999999999776E-3</v>
      </c>
      <c r="I20" s="63">
        <f t="shared" si="17"/>
        <v>1.1599999999999999E-2</v>
      </c>
      <c r="J20" s="63">
        <f t="shared" si="17"/>
        <v>5.1000000000000004E-3</v>
      </c>
    </row>
    <row r="21" spans="1:10" x14ac:dyDescent="0.2">
      <c r="A21">
        <v>2017</v>
      </c>
      <c r="B21" s="63">
        <f>ABS(B12)</f>
        <v>5.3000000000000269E-3</v>
      </c>
      <c r="C21" s="63">
        <f t="shared" ref="C21:J21" si="18">ABS(C12)</f>
        <v>6.9000000000000172E-3</v>
      </c>
      <c r="D21" s="63">
        <f t="shared" si="18"/>
        <v>1.2400000000000022E-2</v>
      </c>
      <c r="E21" s="63">
        <f t="shared" si="18"/>
        <v>5.9999999999999984E-3</v>
      </c>
      <c r="F21" s="63">
        <f t="shared" si="18"/>
        <v>7.6000000000000026E-3</v>
      </c>
      <c r="G21" s="63">
        <f t="shared" si="18"/>
        <v>5.899999999999999E-3</v>
      </c>
      <c r="H21" s="63">
        <f t="shared" si="18"/>
        <v>3.7999999999999978E-3</v>
      </c>
      <c r="I21" s="63">
        <f t="shared" si="18"/>
        <v>4.1999999999999954E-3</v>
      </c>
      <c r="J21" s="63">
        <f t="shared" si="18"/>
        <v>7.7000000000000055E-3</v>
      </c>
    </row>
    <row r="22" spans="1:10" x14ac:dyDescent="0.2">
      <c r="A22">
        <v>2013</v>
      </c>
      <c r="B22" s="63">
        <f>ABS(B17)</f>
        <v>1.8000000000000016E-2</v>
      </c>
      <c r="C22" s="63">
        <f t="shared" ref="C22:J22" si="19">ABS(C17)</f>
        <v>1.100000000000001E-2</v>
      </c>
      <c r="D22" s="63">
        <f t="shared" si="19"/>
        <v>2.0999999999999963E-2</v>
      </c>
      <c r="E22" s="63">
        <f t="shared" si="19"/>
        <v>2.0000000000000018E-3</v>
      </c>
      <c r="F22" s="63">
        <f t="shared" si="19"/>
        <v>7.0000000000000027E-3</v>
      </c>
      <c r="G22" s="63">
        <f t="shared" si="19"/>
        <v>4.0000000000000001E-3</v>
      </c>
      <c r="H22" s="63">
        <f t="shared" si="19"/>
        <v>2.0000000000000018E-3</v>
      </c>
      <c r="I22" s="63">
        <f t="shared" si="19"/>
        <v>1.9999999999999948E-3</v>
      </c>
      <c r="J22" s="63">
        <f t="shared" si="19"/>
        <v>1.0000000000000009E-3</v>
      </c>
    </row>
    <row r="23" spans="1:10" x14ac:dyDescent="0.2">
      <c r="A23" t="s">
        <v>112</v>
      </c>
      <c r="B23" s="64">
        <f>_xlfn.VAR.S(B20:B22)^0.5</f>
        <v>8.9198280999878733E-3</v>
      </c>
      <c r="C23" s="64">
        <f t="shared" ref="C23:J23" si="20">_xlfn.VAR.S(C20:C22)^0.5</f>
        <v>3.1533051443419302E-3</v>
      </c>
      <c r="D23" s="64">
        <f t="shared" si="20"/>
        <v>9.2576094826544355E-3</v>
      </c>
      <c r="E23" s="64">
        <f t="shared" si="20"/>
        <v>2.3094010767585015E-3</v>
      </c>
      <c r="F23" s="64">
        <f t="shared" si="20"/>
        <v>4.8013886880082235E-3</v>
      </c>
      <c r="G23" s="64">
        <f t="shared" si="20"/>
        <v>9.5393920141694508E-4</v>
      </c>
      <c r="H23" s="64">
        <f t="shared" si="20"/>
        <v>2.0033305601755503E-3</v>
      </c>
      <c r="I23" s="64">
        <f t="shared" si="20"/>
        <v>5.0292477900112827E-3</v>
      </c>
      <c r="J23" s="64">
        <f t="shared" si="20"/>
        <v>3.3778691508109093E-3</v>
      </c>
    </row>
    <row r="25" spans="1:10" x14ac:dyDescent="0.2">
      <c r="A25">
        <v>2021</v>
      </c>
      <c r="B25" s="65">
        <f>B7</f>
        <v>2.250000000000002E-2</v>
      </c>
      <c r="C25" s="65">
        <f t="shared" ref="C25:J25" si="21">C7</f>
        <v>1.3100000000000001E-2</v>
      </c>
      <c r="D25" s="65">
        <f t="shared" si="21"/>
        <v>2.4999999999999745E-3</v>
      </c>
      <c r="E25" s="65">
        <f t="shared" si="21"/>
        <v>2.0000000000000018E-3</v>
      </c>
      <c r="F25" s="65">
        <f t="shared" si="21"/>
        <v>-1.5600000000000003E-2</v>
      </c>
      <c r="G25" s="65">
        <f t="shared" si="21"/>
        <v>-4.7999999999999987E-3</v>
      </c>
      <c r="H25" s="65">
        <f t="shared" si="21"/>
        <v>-5.9999999999999776E-3</v>
      </c>
      <c r="I25" s="65">
        <f t="shared" si="21"/>
        <v>-1.1599999999999999E-2</v>
      </c>
      <c r="J25" s="65">
        <f t="shared" si="21"/>
        <v>5.1000000000000004E-3</v>
      </c>
    </row>
    <row r="26" spans="1:10" x14ac:dyDescent="0.2">
      <c r="A26">
        <v>2017</v>
      </c>
      <c r="B26" s="65">
        <f>B12</f>
        <v>-5.3000000000000269E-3</v>
      </c>
      <c r="C26" s="65">
        <f t="shared" ref="C26:J26" si="22">C12</f>
        <v>6.9000000000000172E-3</v>
      </c>
      <c r="D26" s="65">
        <f t="shared" si="22"/>
        <v>1.2400000000000022E-2</v>
      </c>
      <c r="E26" s="65">
        <f t="shared" si="22"/>
        <v>-5.9999999999999984E-3</v>
      </c>
      <c r="F26" s="65">
        <f t="shared" si="22"/>
        <v>-7.6000000000000026E-3</v>
      </c>
      <c r="G26" s="65">
        <f t="shared" si="22"/>
        <v>-5.899999999999999E-3</v>
      </c>
      <c r="H26" s="65">
        <f t="shared" si="22"/>
        <v>-3.7999999999999978E-3</v>
      </c>
      <c r="I26" s="65">
        <f t="shared" si="22"/>
        <v>4.1999999999999954E-3</v>
      </c>
      <c r="J26" s="65">
        <f t="shared" si="22"/>
        <v>7.7000000000000055E-3</v>
      </c>
    </row>
    <row r="27" spans="1:10" x14ac:dyDescent="0.2">
      <c r="A27">
        <v>2013</v>
      </c>
      <c r="B27" s="65">
        <f>B17</f>
        <v>1.8000000000000016E-2</v>
      </c>
      <c r="C27" s="65">
        <f t="shared" ref="C27:J27" si="23">C17</f>
        <v>1.100000000000001E-2</v>
      </c>
      <c r="D27" s="65">
        <f t="shared" si="23"/>
        <v>-2.0999999999999963E-2</v>
      </c>
      <c r="E27" s="65">
        <f t="shared" si="23"/>
        <v>2.0000000000000018E-3</v>
      </c>
      <c r="F27" s="65">
        <f t="shared" si="23"/>
        <v>-7.0000000000000027E-3</v>
      </c>
      <c r="G27" s="65">
        <f t="shared" si="23"/>
        <v>-4.0000000000000001E-3</v>
      </c>
      <c r="H27" s="65">
        <f t="shared" si="23"/>
        <v>2.0000000000000018E-3</v>
      </c>
      <c r="I27" s="65">
        <f t="shared" si="23"/>
        <v>-1.9999999999999948E-3</v>
      </c>
      <c r="J27" s="65">
        <f t="shared" si="23"/>
        <v>-1.0000000000000009E-3</v>
      </c>
    </row>
    <row r="28" spans="1:10" x14ac:dyDescent="0.2">
      <c r="B28" s="65">
        <f>AVERAGE(B25:B27)</f>
        <v>1.1733333333333337E-2</v>
      </c>
      <c r="C28" s="65">
        <f t="shared" ref="C28:J28" si="24">AVERAGE(C25:C27)</f>
        <v>1.0333333333333342E-2</v>
      </c>
      <c r="D28" s="65">
        <f t="shared" si="24"/>
        <v>-2.0333333333333223E-3</v>
      </c>
      <c r="E28" s="65">
        <f t="shared" si="24"/>
        <v>-6.6666666666666491E-4</v>
      </c>
      <c r="F28" s="65">
        <f t="shared" si="24"/>
        <v>-1.006666666666667E-2</v>
      </c>
      <c r="G28" s="65">
        <f t="shared" si="24"/>
        <v>-4.899999999999999E-3</v>
      </c>
      <c r="H28" s="65">
        <f t="shared" si="24"/>
        <v>-2.5999999999999912E-3</v>
      </c>
      <c r="I28" s="65">
        <f t="shared" si="24"/>
        <v>-3.133333333333333E-3</v>
      </c>
      <c r="J28" s="65">
        <f t="shared" si="24"/>
        <v>3.9333333333333347E-3</v>
      </c>
    </row>
    <row r="29" spans="1:10" x14ac:dyDescent="0.2">
      <c r="B29" s="64"/>
    </row>
    <row r="30" spans="1:10" x14ac:dyDescent="0.2">
      <c r="A30" t="s">
        <v>106</v>
      </c>
      <c r="B30" s="64">
        <f>MAXA(B25:B27)</f>
        <v>2.250000000000002E-2</v>
      </c>
      <c r="C30" s="100">
        <f t="shared" ref="C30:I30" si="25">MAXA(C25:C27)</f>
        <v>1.3100000000000001E-2</v>
      </c>
      <c r="D30" s="64">
        <f t="shared" si="25"/>
        <v>1.2400000000000022E-2</v>
      </c>
      <c r="E30" s="64">
        <f t="shared" si="25"/>
        <v>2.0000000000000018E-3</v>
      </c>
      <c r="F30" s="64">
        <f t="shared" si="25"/>
        <v>-7.0000000000000027E-3</v>
      </c>
      <c r="G30" s="64">
        <f t="shared" si="25"/>
        <v>-4.0000000000000001E-3</v>
      </c>
      <c r="H30" s="64">
        <f t="shared" si="25"/>
        <v>2.0000000000000018E-3</v>
      </c>
      <c r="I30" s="64">
        <f t="shared" si="25"/>
        <v>4.1999999999999954E-3</v>
      </c>
      <c r="J30" s="64">
        <f t="shared" ref="J30" si="26">MAXA(J25:J27)</f>
        <v>7.7000000000000055E-3</v>
      </c>
    </row>
    <row r="31" spans="1:10" x14ac:dyDescent="0.2">
      <c r="A31" t="s">
        <v>107</v>
      </c>
      <c r="B31" s="64">
        <f>MINA(B25:B27)</f>
        <v>-5.3000000000000269E-3</v>
      </c>
      <c r="C31" s="100">
        <f t="shared" ref="C31:I31" si="27">MINA(C25:C27)</f>
        <v>6.9000000000000172E-3</v>
      </c>
      <c r="D31" s="64">
        <f t="shared" si="27"/>
        <v>-2.0999999999999963E-2</v>
      </c>
      <c r="E31" s="64">
        <f t="shared" si="27"/>
        <v>-5.9999999999999984E-3</v>
      </c>
      <c r="F31" s="64">
        <f t="shared" si="27"/>
        <v>-1.5600000000000003E-2</v>
      </c>
      <c r="G31" s="64">
        <f t="shared" si="27"/>
        <v>-5.899999999999999E-3</v>
      </c>
      <c r="H31" s="64">
        <f t="shared" si="27"/>
        <v>-5.9999999999999776E-3</v>
      </c>
      <c r="I31" s="64">
        <f t="shared" si="27"/>
        <v>-1.1599999999999999E-2</v>
      </c>
      <c r="J31" s="64">
        <f t="shared" ref="J31" si="28">MINA(J25:J27)</f>
        <v>-1.0000000000000009E-3</v>
      </c>
    </row>
    <row r="32" spans="1:10" x14ac:dyDescent="0.2">
      <c r="C32" s="65">
        <f>C31+C33</f>
        <v>1.3100000000000001E-2</v>
      </c>
    </row>
    <row r="33" spans="2:6" x14ac:dyDescent="0.2">
      <c r="C33" s="65">
        <f>C30-C31</f>
        <v>6.1999999999999833E-3</v>
      </c>
    </row>
    <row r="34" spans="2:6" x14ac:dyDescent="0.2">
      <c r="B34" s="65">
        <f ca="1">B31+RAND()*(B30-B31)</f>
        <v>2.1493565750278871E-3</v>
      </c>
      <c r="F34" s="64">
        <f ca="1">F31+RAND()*(F30-F31)</f>
        <v>-7.7688045636014266E-3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08E7-6EA5-7646-BCC3-CE589785AC1B}">
  <sheetPr codeName="Ark13"/>
  <dimension ref="B2:E17"/>
  <sheetViews>
    <sheetView tabSelected="1" zoomScale="125" workbookViewId="0">
      <selection activeCell="B15" sqref="B15"/>
    </sheetView>
  </sheetViews>
  <sheetFormatPr baseColWidth="10" defaultRowHeight="15" x14ac:dyDescent="0.2"/>
  <cols>
    <col min="2" max="2" width="19.6640625" bestFit="1" customWidth="1"/>
  </cols>
  <sheetData>
    <row r="2" spans="2:5" x14ac:dyDescent="0.2">
      <c r="C2" t="s">
        <v>124</v>
      </c>
      <c r="D2" t="s">
        <v>129</v>
      </c>
      <c r="E2" t="s">
        <v>130</v>
      </c>
    </row>
    <row r="3" spans="2:5" x14ac:dyDescent="0.2">
      <c r="B3" s="90" t="s">
        <v>25</v>
      </c>
      <c r="C3">
        <v>255</v>
      </c>
      <c r="D3">
        <v>51</v>
      </c>
      <c r="E3">
        <v>0</v>
      </c>
    </row>
    <row r="4" spans="2:5" x14ac:dyDescent="0.2">
      <c r="B4" s="91" t="s">
        <v>26</v>
      </c>
      <c r="C4">
        <v>51</v>
      </c>
      <c r="D4">
        <v>51</v>
      </c>
      <c r="E4">
        <v>255</v>
      </c>
    </row>
    <row r="5" spans="2:5" x14ac:dyDescent="0.2">
      <c r="B5" s="91" t="s">
        <v>27</v>
      </c>
      <c r="C5">
        <v>51</v>
      </c>
      <c r="D5">
        <v>153</v>
      </c>
      <c r="E5">
        <v>255</v>
      </c>
    </row>
    <row r="6" spans="2:5" x14ac:dyDescent="0.2">
      <c r="B6" s="91" t="s">
        <v>28</v>
      </c>
      <c r="C6">
        <v>255</v>
      </c>
      <c r="D6">
        <v>255</v>
      </c>
      <c r="E6">
        <v>0</v>
      </c>
    </row>
    <row r="7" spans="2:5" x14ac:dyDescent="0.2">
      <c r="B7" s="91" t="s">
        <v>29</v>
      </c>
      <c r="C7">
        <v>102</v>
      </c>
      <c r="D7">
        <v>153</v>
      </c>
      <c r="E7">
        <v>0</v>
      </c>
    </row>
    <row r="8" spans="2:5" x14ac:dyDescent="0.2">
      <c r="B8" s="91" t="s">
        <v>30</v>
      </c>
      <c r="C8">
        <v>128</v>
      </c>
      <c r="D8">
        <v>0</v>
      </c>
      <c r="E8">
        <v>0</v>
      </c>
    </row>
    <row r="9" spans="2:5" x14ac:dyDescent="0.2">
      <c r="B9" s="91" t="s">
        <v>31</v>
      </c>
      <c r="C9">
        <v>51</v>
      </c>
      <c r="D9">
        <v>153</v>
      </c>
      <c r="E9">
        <v>51</v>
      </c>
    </row>
    <row r="10" spans="2:5" x14ac:dyDescent="0.2">
      <c r="B10" s="91" t="s">
        <v>32</v>
      </c>
      <c r="C10">
        <v>204</v>
      </c>
      <c r="D10">
        <v>51</v>
      </c>
      <c r="E10">
        <v>0</v>
      </c>
    </row>
    <row r="11" spans="2:5" x14ac:dyDescent="0.2">
      <c r="B11" s="92" t="s">
        <v>33</v>
      </c>
      <c r="C11">
        <v>0</v>
      </c>
      <c r="D11">
        <v>204</v>
      </c>
      <c r="E11">
        <v>102</v>
      </c>
    </row>
    <row r="15" spans="2:5" x14ac:dyDescent="0.2">
      <c r="B15">
        <f>_xlfn.DAYS("10.07.2025","18.06.2025")</f>
        <v>22</v>
      </c>
      <c r="D15">
        <f>(20-7)/20</f>
        <v>0.65</v>
      </c>
    </row>
    <row r="17" spans="2:2" x14ac:dyDescent="0.2">
      <c r="B17">
        <f>1-(B15-20)/(40-20)</f>
        <v>0.9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C3D3-AB66-9140-BF78-AB087EDC0A27}">
  <sheetPr codeName="Ark9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14</vt:i4>
      </vt:variant>
      <vt:variant>
        <vt:lpstr>Navngitte områder</vt:lpstr>
      </vt:variant>
      <vt:variant>
        <vt:i4>21</vt:i4>
      </vt:variant>
    </vt:vector>
  </HeadingPairs>
  <TitlesOfParts>
    <vt:vector size="35" baseType="lpstr">
      <vt:lpstr>Stemmefordeling (2)</vt:lpstr>
      <vt:lpstr>Forutsetninger</vt:lpstr>
      <vt:lpstr>Resultat</vt:lpstr>
      <vt:lpstr>Resultat_detaljert</vt:lpstr>
      <vt:lpstr>Resultater_koalisjoner</vt:lpstr>
      <vt:lpstr>Prognose</vt:lpstr>
      <vt:lpstr>Målinger</vt:lpstr>
      <vt:lpstr>Mandater</vt:lpstr>
      <vt:lpstr>Stemmefordeling</vt:lpstr>
      <vt:lpstr>Ark2</vt:lpstr>
      <vt:lpstr>Ark1</vt:lpstr>
      <vt:lpstr>Usikkerhet</vt:lpstr>
      <vt:lpstr>Ark3</vt:lpstr>
      <vt:lpstr>Aggregater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2025-07-17T16:58:33Z</dcterms:modified>
</cp:coreProperties>
</file>