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2419D4A1-8BF0-4F41-8918-4906F81E4947}" xr6:coauthVersionLast="36" xr6:coauthVersionMax="47" xr10:uidLastSave="{00000000-0000-0000-0000-000000000000}"/>
  <bookViews>
    <workbookView xWindow="480" yWindow="560" windowWidth="28320" windowHeight="16640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AF4" i="2" l="1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3" i="2"/>
  <c r="AF22" i="2"/>
  <c r="V21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3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30" i="2"/>
  <c r="AE49" i="2"/>
  <c r="AD49" i="2"/>
  <c r="AC49" i="2"/>
  <c r="AB49" i="2"/>
  <c r="AA49" i="2"/>
  <c r="Z49" i="2"/>
  <c r="Y49" i="2"/>
  <c r="X49" i="2"/>
  <c r="W49" i="2"/>
  <c r="U49" i="2"/>
  <c r="T49" i="2"/>
  <c r="S49" i="2"/>
  <c r="R49" i="2"/>
  <c r="Q49" i="2"/>
  <c r="P49" i="2"/>
  <c r="O49" i="2"/>
  <c r="N49" i="2"/>
  <c r="M49" i="2"/>
  <c r="M50" i="2" l="1"/>
  <c r="W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E21" i="2"/>
  <c r="AD21" i="2"/>
  <c r="AC21" i="2"/>
  <c r="AB21" i="2"/>
  <c r="AA21" i="2"/>
  <c r="Z21" i="2"/>
  <c r="Y21" i="2"/>
  <c r="X21" i="2"/>
  <c r="W21" i="2"/>
  <c r="U21" i="2"/>
  <c r="T21" i="2"/>
  <c r="S21" i="2"/>
  <c r="R21" i="2"/>
  <c r="Q21" i="2"/>
  <c r="P21" i="2"/>
  <c r="O21" i="2"/>
  <c r="N21" i="2"/>
  <c r="M21" i="2"/>
  <c r="AE20" i="2"/>
  <c r="AD20" i="2"/>
  <c r="AC20" i="2"/>
  <c r="AB20" i="2"/>
  <c r="AA20" i="2"/>
  <c r="Z20" i="2"/>
  <c r="Y20" i="2"/>
  <c r="X20" i="2"/>
  <c r="W20" i="2"/>
  <c r="U20" i="2"/>
  <c r="T20" i="2"/>
  <c r="S20" i="2"/>
  <c r="R20" i="2"/>
  <c r="Q20" i="2"/>
  <c r="P20" i="2"/>
  <c r="O20" i="2"/>
  <c r="N20" i="2"/>
  <c r="M20" i="2"/>
  <c r="AE19" i="2"/>
  <c r="AD19" i="2"/>
  <c r="AC19" i="2"/>
  <c r="AB19" i="2"/>
  <c r="AA19" i="2"/>
  <c r="Z19" i="2"/>
  <c r="Y19" i="2"/>
  <c r="X19" i="2"/>
  <c r="W19" i="2"/>
  <c r="U19" i="2"/>
  <c r="T19" i="2"/>
  <c r="S19" i="2"/>
  <c r="R19" i="2"/>
  <c r="Q19" i="2"/>
  <c r="P19" i="2"/>
  <c r="O19" i="2"/>
  <c r="N19" i="2"/>
  <c r="M19" i="2"/>
  <c r="AE18" i="2"/>
  <c r="AD18" i="2"/>
  <c r="AC18" i="2"/>
  <c r="AB18" i="2"/>
  <c r="AA18" i="2"/>
  <c r="Z18" i="2"/>
  <c r="Y18" i="2"/>
  <c r="X18" i="2"/>
  <c r="W18" i="2"/>
  <c r="U18" i="2"/>
  <c r="T18" i="2"/>
  <c r="S18" i="2"/>
  <c r="R18" i="2"/>
  <c r="Q18" i="2"/>
  <c r="P18" i="2"/>
  <c r="O18" i="2"/>
  <c r="N18" i="2"/>
  <c r="M18" i="2"/>
  <c r="AE17" i="2"/>
  <c r="AD17" i="2"/>
  <c r="AC17" i="2"/>
  <c r="AB17" i="2"/>
  <c r="AA17" i="2"/>
  <c r="Z17" i="2"/>
  <c r="Y17" i="2"/>
  <c r="X17" i="2"/>
  <c r="W17" i="2"/>
  <c r="U17" i="2"/>
  <c r="T17" i="2"/>
  <c r="S17" i="2"/>
  <c r="R17" i="2"/>
  <c r="Q17" i="2"/>
  <c r="P17" i="2"/>
  <c r="O17" i="2"/>
  <c r="N17" i="2"/>
  <c r="M17" i="2"/>
  <c r="AE16" i="2"/>
  <c r="AD16" i="2"/>
  <c r="AC16" i="2"/>
  <c r="AB16" i="2"/>
  <c r="AA16" i="2"/>
  <c r="Z16" i="2"/>
  <c r="Y16" i="2"/>
  <c r="X16" i="2"/>
  <c r="W16" i="2"/>
  <c r="U16" i="2"/>
  <c r="T16" i="2"/>
  <c r="S16" i="2"/>
  <c r="R16" i="2"/>
  <c r="Q16" i="2"/>
  <c r="P16" i="2"/>
  <c r="O16" i="2"/>
  <c r="N16" i="2"/>
  <c r="M16" i="2"/>
  <c r="AE15" i="2"/>
  <c r="AD15" i="2"/>
  <c r="AC15" i="2"/>
  <c r="AB15" i="2"/>
  <c r="AA15" i="2"/>
  <c r="Z15" i="2"/>
  <c r="Y15" i="2"/>
  <c r="X15" i="2"/>
  <c r="W15" i="2"/>
  <c r="U15" i="2"/>
  <c r="T15" i="2"/>
  <c r="S15" i="2"/>
  <c r="R15" i="2"/>
  <c r="Q15" i="2"/>
  <c r="P15" i="2"/>
  <c r="O15" i="2"/>
  <c r="N15" i="2"/>
  <c r="M15" i="2"/>
  <c r="AE14" i="2"/>
  <c r="AD14" i="2"/>
  <c r="AC14" i="2"/>
  <c r="AB14" i="2"/>
  <c r="AA14" i="2"/>
  <c r="Z14" i="2"/>
  <c r="Y14" i="2"/>
  <c r="X14" i="2"/>
  <c r="W14" i="2"/>
  <c r="U14" i="2"/>
  <c r="T14" i="2"/>
  <c r="S14" i="2"/>
  <c r="R14" i="2"/>
  <c r="Q14" i="2"/>
  <c r="P14" i="2"/>
  <c r="O14" i="2"/>
  <c r="N14" i="2"/>
  <c r="M14" i="2"/>
  <c r="AE13" i="2"/>
  <c r="AD13" i="2"/>
  <c r="AC13" i="2"/>
  <c r="AB13" i="2"/>
  <c r="AA13" i="2"/>
  <c r="Z13" i="2"/>
  <c r="Y13" i="2"/>
  <c r="X13" i="2"/>
  <c r="W13" i="2"/>
  <c r="U13" i="2"/>
  <c r="T13" i="2"/>
  <c r="S13" i="2"/>
  <c r="R13" i="2"/>
  <c r="Q13" i="2"/>
  <c r="P13" i="2"/>
  <c r="O13" i="2"/>
  <c r="N13" i="2"/>
  <c r="M13" i="2"/>
  <c r="AE12" i="2"/>
  <c r="AD12" i="2"/>
  <c r="AC12" i="2"/>
  <c r="AB12" i="2"/>
  <c r="AA12" i="2"/>
  <c r="Z12" i="2"/>
  <c r="Y12" i="2"/>
  <c r="X12" i="2"/>
  <c r="W12" i="2"/>
  <c r="U12" i="2"/>
  <c r="T12" i="2"/>
  <c r="S12" i="2"/>
  <c r="R12" i="2"/>
  <c r="Q12" i="2"/>
  <c r="P12" i="2"/>
  <c r="O12" i="2"/>
  <c r="N12" i="2"/>
  <c r="M12" i="2"/>
  <c r="AE11" i="2"/>
  <c r="AD11" i="2"/>
  <c r="AC11" i="2"/>
  <c r="AB11" i="2"/>
  <c r="AA11" i="2"/>
  <c r="Z11" i="2"/>
  <c r="Y11" i="2"/>
  <c r="X11" i="2"/>
  <c r="W11" i="2"/>
  <c r="U11" i="2"/>
  <c r="T11" i="2"/>
  <c r="S11" i="2"/>
  <c r="R11" i="2"/>
  <c r="Q11" i="2"/>
  <c r="P11" i="2"/>
  <c r="O11" i="2"/>
  <c r="N11" i="2"/>
  <c r="M11" i="2"/>
  <c r="AE10" i="2"/>
  <c r="AD10" i="2"/>
  <c r="AC10" i="2"/>
  <c r="AB10" i="2"/>
  <c r="AA10" i="2"/>
  <c r="Z10" i="2"/>
  <c r="Y10" i="2"/>
  <c r="X10" i="2"/>
  <c r="W10" i="2"/>
  <c r="U10" i="2"/>
  <c r="T10" i="2"/>
  <c r="S10" i="2"/>
  <c r="R10" i="2"/>
  <c r="Q10" i="2"/>
  <c r="P10" i="2"/>
  <c r="O10" i="2"/>
  <c r="N10" i="2"/>
  <c r="M10" i="2"/>
  <c r="AE9" i="2"/>
  <c r="AD9" i="2"/>
  <c r="AC9" i="2"/>
  <c r="AB9" i="2"/>
  <c r="AA9" i="2"/>
  <c r="Z9" i="2"/>
  <c r="Y9" i="2"/>
  <c r="X9" i="2"/>
  <c r="W9" i="2"/>
  <c r="U9" i="2"/>
  <c r="T9" i="2"/>
  <c r="S9" i="2"/>
  <c r="R9" i="2"/>
  <c r="Q9" i="2"/>
  <c r="P9" i="2"/>
  <c r="O9" i="2"/>
  <c r="N9" i="2"/>
  <c r="M9" i="2"/>
  <c r="AE8" i="2"/>
  <c r="AD8" i="2"/>
  <c r="AC8" i="2"/>
  <c r="AB8" i="2"/>
  <c r="AA8" i="2"/>
  <c r="Z8" i="2"/>
  <c r="Y8" i="2"/>
  <c r="X8" i="2"/>
  <c r="W8" i="2"/>
  <c r="U8" i="2"/>
  <c r="T8" i="2"/>
  <c r="S8" i="2"/>
  <c r="R8" i="2"/>
  <c r="Q8" i="2"/>
  <c r="P8" i="2"/>
  <c r="O8" i="2"/>
  <c r="N8" i="2"/>
  <c r="M8" i="2"/>
  <c r="AE7" i="2"/>
  <c r="AD7" i="2"/>
  <c r="AC7" i="2"/>
  <c r="AB7" i="2"/>
  <c r="AA7" i="2"/>
  <c r="Z7" i="2"/>
  <c r="Y7" i="2"/>
  <c r="X7" i="2"/>
  <c r="W7" i="2"/>
  <c r="U7" i="2"/>
  <c r="T7" i="2"/>
  <c r="S7" i="2"/>
  <c r="R7" i="2"/>
  <c r="Q7" i="2"/>
  <c r="P7" i="2"/>
  <c r="O7" i="2"/>
  <c r="N7" i="2"/>
  <c r="M7" i="2"/>
  <c r="AE6" i="2"/>
  <c r="AD6" i="2"/>
  <c r="AC6" i="2"/>
  <c r="AB6" i="2"/>
  <c r="AA6" i="2"/>
  <c r="Z6" i="2"/>
  <c r="Y6" i="2"/>
  <c r="X6" i="2"/>
  <c r="W6" i="2"/>
  <c r="U6" i="2"/>
  <c r="T6" i="2"/>
  <c r="S6" i="2"/>
  <c r="R6" i="2"/>
  <c r="Q6" i="2"/>
  <c r="P6" i="2"/>
  <c r="O6" i="2"/>
  <c r="N6" i="2"/>
  <c r="M6" i="2"/>
  <c r="AE5" i="2"/>
  <c r="AD5" i="2"/>
  <c r="AC5" i="2"/>
  <c r="AB5" i="2"/>
  <c r="AA5" i="2"/>
  <c r="Z5" i="2"/>
  <c r="Y5" i="2"/>
  <c r="X5" i="2"/>
  <c r="W5" i="2"/>
  <c r="U5" i="2"/>
  <c r="T5" i="2"/>
  <c r="S5" i="2"/>
  <c r="R5" i="2"/>
  <c r="Q5" i="2"/>
  <c r="P5" i="2"/>
  <c r="O5" i="2"/>
  <c r="N5" i="2"/>
  <c r="M5" i="2"/>
  <c r="AE4" i="2"/>
  <c r="AD4" i="2"/>
  <c r="AC4" i="2"/>
  <c r="AB4" i="2"/>
  <c r="AA4" i="2"/>
  <c r="Z4" i="2"/>
  <c r="Y4" i="2"/>
  <c r="X4" i="2"/>
  <c r="W4" i="2"/>
  <c r="U4" i="2"/>
  <c r="T4" i="2"/>
  <c r="S4" i="2"/>
  <c r="R4" i="2"/>
  <c r="Q4" i="2"/>
  <c r="P4" i="2"/>
  <c r="O4" i="2"/>
  <c r="N4" i="2"/>
  <c r="M4" i="2"/>
  <c r="AE3" i="2"/>
  <c r="AD3" i="2"/>
  <c r="AC3" i="2"/>
  <c r="AB3" i="2"/>
  <c r="AA3" i="2"/>
  <c r="Z3" i="2"/>
  <c r="Y3" i="2"/>
  <c r="X3" i="2"/>
  <c r="W3" i="2"/>
  <c r="U3" i="2"/>
  <c r="T3" i="2"/>
  <c r="S3" i="2"/>
  <c r="R3" i="2"/>
  <c r="Q3" i="2"/>
  <c r="P3" i="2"/>
  <c r="O3" i="2"/>
  <c r="N3" i="2"/>
  <c r="M3" i="2"/>
  <c r="C22" i="2" l="1"/>
  <c r="L49" i="2"/>
  <c r="C50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M22" i="2"/>
  <c r="AD22" i="2"/>
  <c r="U22" i="2"/>
  <c r="W22" i="2"/>
  <c r="P22" i="2"/>
  <c r="X22" i="2"/>
  <c r="Y22" i="2"/>
  <c r="AE22" i="2"/>
  <c r="Z22" i="2"/>
  <c r="N22" i="2"/>
  <c r="O22" i="2"/>
  <c r="AA22" i="2"/>
  <c r="AB22" i="2"/>
  <c r="AC22" i="2"/>
  <c r="Q22" i="2"/>
  <c r="S22" i="2"/>
  <c r="R22" i="2"/>
  <c r="T22" i="2"/>
  <c r="L7" i="2" l="1"/>
  <c r="L15" i="2"/>
  <c r="L19" i="2"/>
  <c r="L11" i="2"/>
  <c r="L10" i="2"/>
  <c r="L5" i="2"/>
  <c r="L20" i="2"/>
  <c r="L4" i="2"/>
  <c r="L14" i="2"/>
  <c r="L13" i="2"/>
  <c r="L8" i="2"/>
  <c r="L21" i="2"/>
  <c r="L16" i="2"/>
  <c r="L3" i="2"/>
  <c r="L18" i="2"/>
  <c r="L9" i="2"/>
  <c r="L17" i="2"/>
  <c r="L12" i="2"/>
  <c r="L6" i="2"/>
  <c r="T12" i="5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V22" i="2" l="1"/>
  <c r="L22" i="2"/>
  <c r="I3" i="5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<sst xmlns="http://schemas.openxmlformats.org/spreadsheetml/2006/main" count="586" uniqueCount="135">
  <si>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</si>
  <si>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</si>
  <si>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</si>
  <si>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</si>
  <si>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</si>
  <si>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</si>
  <si>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</si>
  <si>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</si>
  <si>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</si>
  <si>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</si>
  <si>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</si>
  <si>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</si>
  <si>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</si>
  <si>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</si>
  <si>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</si>
  <si>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</si>
  <si>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</si>
  <si>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</si>
  <si>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</si>
  <si>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</si>
  <si>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</si>
  <si>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</si>
  <si>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</si>
  <si>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</si>
  <si>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</si>
  <si>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</si>
  <si>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</si>
  <si>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</si>
  <si>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</si>
  <si>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</si>
  <si>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</si>
  <si>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</si>
  <si>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</si>
  <si>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</si>
  <si>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</si>
  <si>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</si>
  <si>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</si>
  <si>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</si>
  <si>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</si>
  <si>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</si>
  <si>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</si>
  <si>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</si>
  <si>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</si>
  <si>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</si>
  <si>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</si>
  <si>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</si>
  <si>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</si>
  <si>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</si>
  <si>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</si>
  <si>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</si>
  <si>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</si>
  <si>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</si>
  <si>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</si>
  <si>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</si>
  <si>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</si>
  <si>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</si>
  <si>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</si>
  <si>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</si>
  <si>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</si>
  <si>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</si>
  <si>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</si>
  <si>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</si>
  <si>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</si>
  <si>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</si>
  <si>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</si>
  <si>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</si>
  <si>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</si>
  <si>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</si>
  <si>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</si>
  <si>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</si>
  <si>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</si>
  <si>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</si>
  <si>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</si>
  <si>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</si>
  <si>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</si>
  <si>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</si>
  <si>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</si>
  <si>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</si>
  <si>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</si>
  <si>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</si>
  <si>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</si>
  <si>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</si>
  <si>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</si>
  <si>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</si>
  <si>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</si>
  <si>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</si>
  <si>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</si>
  <si>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</si>
  <si>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</si>
  <si>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</si>
  <si>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</si>
  <si>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</si>
  <si>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</si>
  <si>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</si>
  <si>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</si>
  <si>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</si>
  <si>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</si>
  <si>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</si>
  <si>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</si>
  <si>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</si>
  <si>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</si>
  <si>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</si>
  <si>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</si>
  <si>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</si>
  <si>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</si>
  <si>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</si>
  <si>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</si>
  <si>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</si>
  <si>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</si>
  <si>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</si>
  <si>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</si>
  <si>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</si>
  <si>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</si>
  <si>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</si>
  <si>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</si>
  <si>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</si>
  <si>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</si>
  <si>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</si>
  <si>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</si>
  <si>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</si>
  <si>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</si>
  <si>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</si>
  <si>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</si>
  <si>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</si>
  <si>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</si>
  <si>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</si>
  <si>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</si>
  <si>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</si>
  <si>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</si>
  <si>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</si>
  <si>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</si>
  <si>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</si>
  <si>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</si>
  <si>
    <t>[[0.28188506 0.20663013 0.18806706 0.03316781 0.02715211 0.05123393</t>
  </si>
  <si>
    <t>  0.05693807 0.06980927 0.03999527]]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</si>
</sst>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2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6" fillId="2" borderId="3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17" fillId="0" borderId="0" xfId="0" applyFont="1"/>
    <xf numFmtId="10" fontId="17" fillId="0" borderId="0" xfId="0" applyNumberFormat="1" applyFont="1"/>
    <xf numFmtId="9" fontId="17" fillId="0" borderId="0" xfId="0" applyNumberFormat="1" applyFont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76</c:v>
                </c:pt>
                <c:pt idx="3">
                  <c:v>86</c:v>
                </c:pt>
                <c:pt idx="4">
                  <c:v>79</c:v>
                </c:pt>
                <c:pt idx="5">
                  <c:v>43</c:v>
                </c:pt>
                <c:pt idx="6">
                  <c:v>81</c:v>
                </c:pt>
                <c:pt idx="7">
                  <c:v>80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49</c:v>
                </c:pt>
                <c:pt idx="1">
                  <c:v>39</c:v>
                </c:pt>
                <c:pt idx="2">
                  <c:v>40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5</c:v>
                </c:pt>
                <c:pt idx="7">
                  <c:v>8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tabSelected="1"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4" t="s">
        <v>75</v>
      </c>
      <c r="G2" s="94"/>
      <c r="H2" s="94"/>
      <c r="I2" s="94"/>
      <c r="J2" s="94"/>
      <c r="K2" s="94"/>
      <c r="L2" s="94"/>
      <c r="M2" s="94"/>
      <c r="N2" s="94"/>
      <c r="O2" s="94"/>
    </row>
    <row r="3" spans="2:15" x14ac:dyDescent="0.2">
      <c r="B3" s="1" t="s">
        <v>55</v>
      </c>
      <c r="C3" s="67">
        <v>2021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45810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N1" zoomScale="119" zoomScaleNormal="110" workbookViewId="0">
      <selection activeCell="Q17" sqref="Q17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5" t="s">
        <v>68</v>
      </c>
      <c r="C2" s="95"/>
      <c r="D2" s="95"/>
      <c r="E2" s="95"/>
      <c r="F2" s="95"/>
      <c r="G2" s="95"/>
      <c r="H2" s="95"/>
      <c r="I2" s="95"/>
      <c r="J2" s="95"/>
      <c r="M2" s="95" t="s">
        <v>77</v>
      </c>
      <c r="N2" s="95"/>
      <c r="O2" s="95"/>
      <c r="P2" s="95"/>
      <c r="Q2" s="95"/>
      <c r="R2" s="95"/>
      <c r="S2" s="95"/>
      <c r="T2" s="95"/>
      <c r="U2" s="95"/>
      <c r="X2" s="95" t="s">
        <v>69</v>
      </c>
      <c r="Y2" s="95"/>
      <c r="Z2" s="95"/>
      <c r="AA2" s="95"/>
      <c r="AB2" s="95"/>
      <c r="AC2" s="95"/>
      <c r="AD2" s="95"/>
      <c r="AE2" s="95"/>
      <c r="AF2" s="95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2</v>
      </c>
      <c r="D4" s="24">
        <v>3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2</v>
      </c>
      <c r="Z4" s="24">
        <f t="shared" si="0"/>
        <v>3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87</v>
      </c>
      <c r="BB4" s="22" t="s">
        <v>35</v>
      </c>
      <c r="BC4" s="24">
        <f t="shared" ref="BC4:BC22" si="1">B4-BN4</f>
        <v>-1</v>
      </c>
      <c r="BD4" s="24">
        <f t="shared" ref="BD4:BD22" si="2">C4-BO4</f>
        <v>0</v>
      </c>
      <c r="BE4" s="24">
        <f t="shared" ref="BE4:BE22" si="3">D4-BP4</f>
        <v>0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8</v>
      </c>
      <c r="C5" s="24">
        <v>4</v>
      </c>
      <c r="D5" s="24">
        <v>4</v>
      </c>
      <c r="E5" s="24">
        <v>0</v>
      </c>
      <c r="F5" s="24">
        <v>1</v>
      </c>
      <c r="G5" s="24">
        <v>0</v>
      </c>
      <c r="H5" s="24">
        <v>1</v>
      </c>
      <c r="I5" s="24">
        <v>1</v>
      </c>
      <c r="J5" s="24">
        <v>0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1</v>
      </c>
      <c r="S5" s="24">
        <v>0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8</v>
      </c>
      <c r="Y5" s="24">
        <f t="shared" si="0"/>
        <v>4</v>
      </c>
      <c r="Z5" s="24">
        <f t="shared" si="0"/>
        <v>4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1</v>
      </c>
      <c r="AF5" s="24">
        <f t="shared" si="0"/>
        <v>0</v>
      </c>
      <c r="AG5" s="31"/>
      <c r="AH5" s="31"/>
      <c r="AI5" s="31"/>
      <c r="AJ5" s="31"/>
      <c r="AK5" s="31"/>
      <c r="AL5" s="21" t="s">
        <v>71</v>
      </c>
      <c r="AM5" s="23">
        <f>169-AM4</f>
        <v>82</v>
      </c>
      <c r="BB5" s="22" t="s">
        <v>36</v>
      </c>
      <c r="BC5" s="24">
        <f t="shared" si="1"/>
        <v>3</v>
      </c>
      <c r="BD5" s="24">
        <f t="shared" si="2"/>
        <v>1</v>
      </c>
      <c r="BE5" s="24">
        <f t="shared" si="3"/>
        <v>-3</v>
      </c>
      <c r="BF5" s="24">
        <f t="shared" si="4"/>
        <v>0</v>
      </c>
      <c r="BG5" s="24">
        <f t="shared" si="5"/>
        <v>1</v>
      </c>
      <c r="BH5" s="24">
        <f t="shared" si="6"/>
        <v>0</v>
      </c>
      <c r="BI5" s="24">
        <f t="shared" si="7"/>
        <v>1</v>
      </c>
      <c r="BJ5" s="24">
        <f t="shared" si="8"/>
        <v>1</v>
      </c>
      <c r="BK5" s="24">
        <f t="shared" si="9"/>
        <v>-1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-1</v>
      </c>
      <c r="CS5" s="24">
        <f t="shared" ref="CS5:CS19" si="20">CH5-S5</f>
        <v>0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9</v>
      </c>
      <c r="C6" s="24">
        <v>3</v>
      </c>
      <c r="D6" s="24">
        <v>3</v>
      </c>
      <c r="E6" s="24">
        <v>0</v>
      </c>
      <c r="F6" s="24">
        <v>0</v>
      </c>
      <c r="G6" s="24">
        <v>0</v>
      </c>
      <c r="H6" s="24">
        <v>2</v>
      </c>
      <c r="I6" s="24">
        <v>2</v>
      </c>
      <c r="J6" s="24">
        <v>0</v>
      </c>
      <c r="L6" s="22" t="s">
        <v>37</v>
      </c>
      <c r="M6" s="24">
        <v>1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31"/>
      <c r="W6" s="22" t="s">
        <v>37</v>
      </c>
      <c r="X6" s="24">
        <f t="shared" si="12"/>
        <v>10</v>
      </c>
      <c r="Y6" s="24">
        <f t="shared" si="0"/>
        <v>3</v>
      </c>
      <c r="Z6" s="24">
        <f t="shared" si="0"/>
        <v>3</v>
      </c>
      <c r="AA6" s="24">
        <f t="shared" si="0"/>
        <v>0</v>
      </c>
      <c r="AB6" s="24">
        <f t="shared" si="0"/>
        <v>0</v>
      </c>
      <c r="AC6" s="24">
        <f t="shared" si="0"/>
        <v>0</v>
      </c>
      <c r="AD6" s="24">
        <f t="shared" si="0"/>
        <v>2</v>
      </c>
      <c r="AE6" s="24">
        <f t="shared" si="0"/>
        <v>2</v>
      </c>
      <c r="AF6" s="24">
        <f t="shared" si="0"/>
        <v>0</v>
      </c>
      <c r="AG6" s="31"/>
      <c r="AH6" s="31"/>
      <c r="AI6" s="31"/>
      <c r="AJ6" s="31"/>
      <c r="AK6" s="31"/>
      <c r="AL6" s="21" t="s">
        <v>72</v>
      </c>
      <c r="AM6" s="23">
        <f>X23+AE23+AD23</f>
        <v>76</v>
      </c>
      <c r="BB6" s="22" t="s">
        <v>37</v>
      </c>
      <c r="BC6" s="24">
        <f t="shared" si="1"/>
        <v>3</v>
      </c>
      <c r="BD6" s="24">
        <f t="shared" si="2"/>
        <v>1</v>
      </c>
      <c r="BE6" s="24">
        <f t="shared" si="3"/>
        <v>-3</v>
      </c>
      <c r="BF6" s="24">
        <f t="shared" si="4"/>
        <v>0</v>
      </c>
      <c r="BG6" s="24">
        <f t="shared" si="5"/>
        <v>-1</v>
      </c>
      <c r="BH6" s="24">
        <f t="shared" si="6"/>
        <v>0</v>
      </c>
      <c r="BI6" s="24">
        <f t="shared" si="7"/>
        <v>2</v>
      </c>
      <c r="BJ6" s="24">
        <f t="shared" si="8"/>
        <v>1</v>
      </c>
      <c r="BK6" s="24">
        <f t="shared" si="9"/>
        <v>-2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-1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0</v>
      </c>
    </row>
    <row r="7" spans="1:99" x14ac:dyDescent="0.2">
      <c r="A7" s="22" t="s">
        <v>38</v>
      </c>
      <c r="B7" s="24">
        <v>1</v>
      </c>
      <c r="C7" s="24">
        <v>2</v>
      </c>
      <c r="D7" s="24">
        <v>2</v>
      </c>
      <c r="E7" s="24">
        <v>0</v>
      </c>
      <c r="F7" s="24">
        <v>0</v>
      </c>
      <c r="G7" s="24">
        <v>0</v>
      </c>
      <c r="H7" s="24">
        <v>0</v>
      </c>
      <c r="I7" s="24">
        <v>0</v>
      </c>
      <c r="J7" s="24">
        <v>1</v>
      </c>
      <c r="L7" s="22" t="s">
        <v>38</v>
      </c>
      <c r="M7" s="24">
        <v>1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2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0</v>
      </c>
      <c r="AE7" s="24">
        <f t="shared" si="0"/>
        <v>0</v>
      </c>
      <c r="AF7" s="24">
        <f t="shared" si="0"/>
        <v>1</v>
      </c>
      <c r="AG7" s="31"/>
      <c r="AH7" s="31"/>
      <c r="AI7" s="31"/>
      <c r="AJ7" s="31"/>
      <c r="AK7" s="31"/>
      <c r="AL7" s="21" t="s">
        <v>76</v>
      </c>
      <c r="AM7" s="23">
        <f>X23+AE23+AD23+AC23</f>
        <v>86</v>
      </c>
      <c r="BB7" s="22" t="s">
        <v>38</v>
      </c>
      <c r="BC7" s="24">
        <f t="shared" si="1"/>
        <v>-2</v>
      </c>
      <c r="BD7" s="24">
        <f t="shared" si="2"/>
        <v>1</v>
      </c>
      <c r="BE7" s="24">
        <f t="shared" si="3"/>
        <v>1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-1</v>
      </c>
      <c r="BJ7" s="24">
        <f t="shared" si="8"/>
        <v>0</v>
      </c>
      <c r="BK7" s="24">
        <f t="shared" si="9"/>
        <v>1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-1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1</v>
      </c>
      <c r="CU7" s="24">
        <f t="shared" si="22"/>
        <v>0</v>
      </c>
    </row>
    <row r="8" spans="1:99" x14ac:dyDescent="0.2">
      <c r="A8" s="22" t="s">
        <v>39</v>
      </c>
      <c r="B8" s="24">
        <v>1</v>
      </c>
      <c r="C8" s="24">
        <v>2</v>
      </c>
      <c r="D8" s="24">
        <v>2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L8" s="22" t="s">
        <v>39</v>
      </c>
      <c r="M8" s="24">
        <v>1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2</v>
      </c>
      <c r="Z8" s="24">
        <f t="shared" si="0"/>
        <v>2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0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79</v>
      </c>
      <c r="BB8" s="22" t="s">
        <v>39</v>
      </c>
      <c r="BC8" s="24">
        <f t="shared" si="1"/>
        <v>-2</v>
      </c>
      <c r="BD8" s="24">
        <f t="shared" si="2"/>
        <v>1</v>
      </c>
      <c r="BE8" s="24">
        <f t="shared" si="3"/>
        <v>1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-1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-1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43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81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1</v>
      </c>
      <c r="C11" s="24">
        <v>2</v>
      </c>
      <c r="D11" s="24">
        <v>2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1</v>
      </c>
      <c r="U11" s="24">
        <v>0</v>
      </c>
      <c r="V11" s="31"/>
      <c r="W11" s="22" t="s">
        <v>42</v>
      </c>
      <c r="X11" s="24">
        <f t="shared" si="12"/>
        <v>1</v>
      </c>
      <c r="Y11" s="24">
        <f t="shared" si="0"/>
        <v>2</v>
      </c>
      <c r="Z11" s="24">
        <f t="shared" si="0"/>
        <v>2</v>
      </c>
      <c r="AA11" s="24">
        <f t="shared" si="0"/>
        <v>0</v>
      </c>
      <c r="AB11" s="24">
        <f t="shared" si="0"/>
        <v>0</v>
      </c>
      <c r="AC11" s="24">
        <f t="shared" si="0"/>
        <v>0</v>
      </c>
      <c r="AD11" s="24">
        <f t="shared" si="0"/>
        <v>0</v>
      </c>
      <c r="AE11" s="24">
        <f t="shared" si="0"/>
        <v>1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80</v>
      </c>
      <c r="BB11" s="22" t="s">
        <v>42</v>
      </c>
      <c r="BC11" s="24">
        <f t="shared" si="1"/>
        <v>-2</v>
      </c>
      <c r="BD11" s="24">
        <f t="shared" si="2"/>
        <v>1</v>
      </c>
      <c r="BE11" s="24">
        <f t="shared" si="3"/>
        <v>1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0</v>
      </c>
      <c r="CS11" s="24">
        <f t="shared" si="20"/>
        <v>0</v>
      </c>
      <c r="CT11" s="24">
        <f t="shared" si="21"/>
        <v>-1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1</v>
      </c>
      <c r="S12" s="24">
        <v>0</v>
      </c>
      <c r="T12" s="24">
        <v>0</v>
      </c>
      <c r="U12" s="24">
        <v>0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1</v>
      </c>
      <c r="AD12" s="24">
        <f t="shared" si="0"/>
        <v>0</v>
      </c>
      <c r="AE12" s="24">
        <f t="shared" si="0"/>
        <v>0</v>
      </c>
      <c r="AF12" s="24">
        <f t="shared" si="0"/>
        <v>0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82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-1</v>
      </c>
      <c r="CS12" s="24">
        <f t="shared" si="20"/>
        <v>0</v>
      </c>
      <c r="CT12" s="24">
        <f t="shared" si="21"/>
        <v>0</v>
      </c>
      <c r="CU12" s="24">
        <f t="shared" si="22"/>
        <v>0</v>
      </c>
    </row>
    <row r="13" spans="1:99" x14ac:dyDescent="0.2">
      <c r="A13" s="22" t="s">
        <v>44</v>
      </c>
      <c r="B13" s="24">
        <v>2</v>
      </c>
      <c r="C13" s="24">
        <v>1</v>
      </c>
      <c r="D13" s="24">
        <v>1</v>
      </c>
      <c r="E13" s="24">
        <v>0</v>
      </c>
      <c r="F13" s="24">
        <v>0</v>
      </c>
      <c r="G13" s="24">
        <v>1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1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2</v>
      </c>
      <c r="Y13" s="24">
        <f t="shared" si="0"/>
        <v>1</v>
      </c>
      <c r="Z13" s="24">
        <f t="shared" si="0"/>
        <v>1</v>
      </c>
      <c r="AA13" s="24">
        <f t="shared" si="0"/>
        <v>0</v>
      </c>
      <c r="AB13" s="24">
        <f t="shared" si="0"/>
        <v>0</v>
      </c>
      <c r="AC13" s="24">
        <f t="shared" si="0"/>
        <v>2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1</v>
      </c>
      <c r="BD13" s="24">
        <f t="shared" si="2"/>
        <v>0</v>
      </c>
      <c r="BE13" s="24">
        <f t="shared" si="3"/>
        <v>-1</v>
      </c>
      <c r="BF13" s="24">
        <f t="shared" si="4"/>
        <v>-1</v>
      </c>
      <c r="BG13" s="24">
        <f t="shared" si="5"/>
        <v>0</v>
      </c>
      <c r="BH13" s="24">
        <f t="shared" si="6"/>
        <v>1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-1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3</v>
      </c>
      <c r="C14" s="24">
        <v>3</v>
      </c>
      <c r="D14" s="24">
        <v>3</v>
      </c>
      <c r="E14" s="24">
        <v>1</v>
      </c>
      <c r="F14" s="24">
        <v>0</v>
      </c>
      <c r="G14" s="24">
        <v>2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1</v>
      </c>
      <c r="T14" s="24">
        <v>0</v>
      </c>
      <c r="U14" s="24">
        <v>0</v>
      </c>
      <c r="V14" s="31"/>
      <c r="W14" s="22" t="s">
        <v>45</v>
      </c>
      <c r="X14" s="24">
        <f t="shared" si="12"/>
        <v>3</v>
      </c>
      <c r="Y14" s="24">
        <f t="shared" si="0"/>
        <v>3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2</v>
      </c>
      <c r="AD14" s="24">
        <f t="shared" si="0"/>
        <v>1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0</v>
      </c>
      <c r="BD14" s="24">
        <f t="shared" si="2"/>
        <v>0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2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0</v>
      </c>
      <c r="CS14" s="24">
        <f t="shared" si="20"/>
        <v>-1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5</v>
      </c>
      <c r="C15" s="24">
        <v>4</v>
      </c>
      <c r="D15" s="24">
        <v>3</v>
      </c>
      <c r="E15" s="24">
        <v>0</v>
      </c>
      <c r="F15" s="24">
        <v>0</v>
      </c>
      <c r="G15" s="24">
        <v>1</v>
      </c>
      <c r="H15" s="24">
        <v>1</v>
      </c>
      <c r="I15" s="24">
        <v>1</v>
      </c>
      <c r="J15" s="24">
        <v>0</v>
      </c>
      <c r="L15" s="22" t="s">
        <v>46</v>
      </c>
      <c r="M15" s="24">
        <v>1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31"/>
      <c r="W15" s="22" t="s">
        <v>46</v>
      </c>
      <c r="X15" s="24">
        <f t="shared" si="12"/>
        <v>6</v>
      </c>
      <c r="Y15" s="24">
        <f t="shared" si="0"/>
        <v>4</v>
      </c>
      <c r="Z15" s="24">
        <f t="shared" si="0"/>
        <v>3</v>
      </c>
      <c r="AA15" s="24">
        <f t="shared" si="0"/>
        <v>0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1</v>
      </c>
      <c r="AF15" s="24">
        <f t="shared" si="0"/>
        <v>0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1</v>
      </c>
      <c r="BD15" s="24">
        <f t="shared" si="2"/>
        <v>2</v>
      </c>
      <c r="BE15" s="24">
        <f t="shared" si="3"/>
        <v>-2</v>
      </c>
      <c r="BF15" s="24">
        <f t="shared" si="4"/>
        <v>-1</v>
      </c>
      <c r="BG15" s="24">
        <f t="shared" si="5"/>
        <v>0</v>
      </c>
      <c r="BH15" s="24">
        <f t="shared" si="6"/>
        <v>1</v>
      </c>
      <c r="BI15" s="24">
        <f t="shared" si="7"/>
        <v>0</v>
      </c>
      <c r="BJ15" s="24">
        <f t="shared" si="8"/>
        <v>0</v>
      </c>
      <c r="BK15" s="24">
        <f t="shared" si="9"/>
        <v>-1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-1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0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1</v>
      </c>
      <c r="S16" s="24">
        <v>0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1</v>
      </c>
      <c r="AD16" s="24">
        <f t="shared" si="0"/>
        <v>0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-1</v>
      </c>
      <c r="CS16" s="24">
        <f t="shared" si="20"/>
        <v>0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2</v>
      </c>
      <c r="C17" s="24">
        <v>2</v>
      </c>
      <c r="D17" s="24">
        <v>2</v>
      </c>
      <c r="E17" s="24">
        <v>0</v>
      </c>
      <c r="F17" s="24">
        <v>0</v>
      </c>
      <c r="G17" s="24">
        <v>1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2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1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0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1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0</v>
      </c>
      <c r="H18" s="24">
        <v>1</v>
      </c>
      <c r="I18" s="24">
        <v>1</v>
      </c>
      <c r="J18" s="24">
        <v>0</v>
      </c>
      <c r="L18" s="22" t="s">
        <v>49</v>
      </c>
      <c r="M18" s="24">
        <v>1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31"/>
      <c r="W18" s="22" t="s">
        <v>49</v>
      </c>
      <c r="X18" s="24">
        <f t="shared" si="12"/>
        <v>4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0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0</v>
      </c>
      <c r="BI18" s="24">
        <f t="shared" si="7"/>
        <v>0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-1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0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1</v>
      </c>
      <c r="C19" s="24">
        <v>1</v>
      </c>
      <c r="D19" s="24">
        <v>2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1</v>
      </c>
      <c r="U19" s="24">
        <v>0</v>
      </c>
      <c r="V19" s="31"/>
      <c r="W19" s="22" t="s">
        <v>50</v>
      </c>
      <c r="X19" s="24">
        <f t="shared" si="12"/>
        <v>1</v>
      </c>
      <c r="Y19" s="24">
        <f t="shared" si="0"/>
        <v>1</v>
      </c>
      <c r="Z19" s="24">
        <f t="shared" si="0"/>
        <v>2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0</v>
      </c>
      <c r="AE19" s="24">
        <f t="shared" si="0"/>
        <v>1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-1</v>
      </c>
      <c r="BD19" s="24">
        <f t="shared" si="2"/>
        <v>1</v>
      </c>
      <c r="BE19" s="24">
        <f t="shared" si="3"/>
        <v>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0</v>
      </c>
      <c r="CT19" s="24">
        <f t="shared" si="21"/>
        <v>-1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2</v>
      </c>
      <c r="D20" s="24">
        <v>2</v>
      </c>
      <c r="E20" s="24">
        <v>0</v>
      </c>
      <c r="F20" s="24">
        <v>0</v>
      </c>
      <c r="G20" s="24">
        <v>0</v>
      </c>
      <c r="H20" s="24">
        <v>0</v>
      </c>
      <c r="I20" s="24">
        <v>1</v>
      </c>
      <c r="J20" s="24">
        <v>1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1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2</v>
      </c>
      <c r="Z20" s="24">
        <f t="shared" ref="Z20:Z22" si="24">D20+O20</f>
        <v>2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0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1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0</v>
      </c>
      <c r="BE20" s="24">
        <f t="shared" si="3"/>
        <v>0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0</v>
      </c>
      <c r="BJ20" s="24">
        <f t="shared" si="8"/>
        <v>1</v>
      </c>
      <c r="BK20" s="24">
        <f t="shared" si="9"/>
        <v>1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0</v>
      </c>
      <c r="CS20" s="24">
        <f t="shared" ref="CS20:CS22" si="36">CH20-S20</f>
        <v>0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2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1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2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0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0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0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0</v>
      </c>
      <c r="CT21" s="24">
        <f t="shared" si="37"/>
        <v>0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1</v>
      </c>
      <c r="D22" s="24">
        <v>1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1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1</v>
      </c>
      <c r="Z22" s="24">
        <f t="shared" si="24"/>
        <v>1</v>
      </c>
      <c r="AA22" s="24">
        <f t="shared" si="25"/>
        <v>0</v>
      </c>
      <c r="AB22" s="24">
        <f t="shared" si="26"/>
        <v>0</v>
      </c>
      <c r="AC22" s="24">
        <f t="shared" si="27"/>
        <v>0</v>
      </c>
      <c r="AD22" s="24">
        <f t="shared" si="28"/>
        <v>1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0</v>
      </c>
      <c r="BE22" s="24">
        <f t="shared" si="3"/>
        <v>0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0</v>
      </c>
      <c r="CS22" s="24">
        <f t="shared" si="36"/>
        <v>-1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49</v>
      </c>
      <c r="C23" s="25">
        <f t="shared" si="39"/>
        <v>39</v>
      </c>
      <c r="D23" s="25">
        <f t="shared" si="39"/>
        <v>40</v>
      </c>
      <c r="E23" s="25">
        <f t="shared" si="39"/>
        <v>1</v>
      </c>
      <c r="F23" s="25">
        <f t="shared" si="39"/>
        <v>1</v>
      </c>
      <c r="G23" s="25">
        <f t="shared" si="39"/>
        <v>5</v>
      </c>
      <c r="H23" s="25">
        <f t="shared" si="39"/>
        <v>5</v>
      </c>
      <c r="I23" s="25">
        <f t="shared" si="39"/>
        <v>8</v>
      </c>
      <c r="J23" s="25">
        <f t="shared" si="39"/>
        <v>2</v>
      </c>
      <c r="K23" s="23">
        <f>SUM(B23:J23)</f>
        <v>150</v>
      </c>
      <c r="L23" s="19"/>
      <c r="M23" s="25">
        <f t="shared" ref="M23:U23" si="40">SUM(M4:M22)</f>
        <v>5</v>
      </c>
      <c r="N23" s="25">
        <f t="shared" si="40"/>
        <v>0</v>
      </c>
      <c r="O23" s="25">
        <f t="shared" si="40"/>
        <v>0</v>
      </c>
      <c r="P23" s="25">
        <f t="shared" si="40"/>
        <v>0</v>
      </c>
      <c r="Q23" s="25">
        <f t="shared" si="40"/>
        <v>0</v>
      </c>
      <c r="R23" s="25">
        <f>SUM(R4:R22)</f>
        <v>5</v>
      </c>
      <c r="S23" s="25">
        <f t="shared" si="40"/>
        <v>3</v>
      </c>
      <c r="T23" s="25">
        <f t="shared" si="40"/>
        <v>6</v>
      </c>
      <c r="U23" s="25">
        <f t="shared" si="40"/>
        <v>0</v>
      </c>
      <c r="V23" s="32"/>
      <c r="W23" s="19"/>
      <c r="X23" s="25">
        <f t="shared" ref="X23:AF23" si="41">SUM(X4:X22)</f>
        <v>54</v>
      </c>
      <c r="Y23" s="25">
        <f t="shared" si="41"/>
        <v>39</v>
      </c>
      <c r="Z23" s="25">
        <f t="shared" si="41"/>
        <v>40</v>
      </c>
      <c r="AA23" s="25">
        <f t="shared" si="41"/>
        <v>1</v>
      </c>
      <c r="AB23" s="25">
        <f t="shared" si="41"/>
        <v>1</v>
      </c>
      <c r="AC23" s="25">
        <f t="shared" si="41"/>
        <v>10</v>
      </c>
      <c r="AD23" s="25">
        <f t="shared" si="41"/>
        <v>8</v>
      </c>
      <c r="AE23" s="25">
        <f t="shared" si="41"/>
        <v>14</v>
      </c>
      <c r="AF23" s="25">
        <f t="shared" si="41"/>
        <v>2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1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1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1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1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1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1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1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1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1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4" t="s">
        <v>75</v>
      </c>
      <c r="D3" s="94"/>
      <c r="E3" s="94"/>
      <c r="F3" s="94"/>
      <c r="G3" s="94"/>
      <c r="H3" s="94"/>
      <c r="I3" s="94"/>
      <c r="J3" s="94"/>
      <c r="K3" s="94"/>
      <c r="L3" s="94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9" sqref="B9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100">
        <v>0.28100000000000003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100">
        <v>0.20100000000000001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100">
        <v>0.189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100">
        <v>3.3000000000000002E-2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100">
        <v>2.7E-2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100">
        <v>5.0999999999999997E-2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100">
        <v>5.7000000000000002E-2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101">
        <v>7.0000000000000007E-2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100">
        <v>3.9899999999999998E-2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61">
        <f>1-SUM(B2:B10)</f>
        <v>5.1099999999999701E-2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ht="21" x14ac:dyDescent="0.25">
      <c r="B13" s="99" t="s">
        <v>133</v>
      </c>
      <c r="G13">
        <f>4%*G12</f>
        <v>113441.16</v>
      </c>
    </row>
    <row r="14" spans="1:15" ht="21" x14ac:dyDescent="0.25">
      <c r="B14" s="99" t="s">
        <v>134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0.48600000000000004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222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230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240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241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242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251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264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264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268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270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B2" sqref="B2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F50"/>
  <sheetViews>
    <sheetView workbookViewId="0">
      <selection activeCell="L3" sqref="L3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96" t="s">
        <v>22</v>
      </c>
      <c r="D1" s="97"/>
      <c r="E1" s="97"/>
      <c r="F1" s="97"/>
      <c r="G1" s="97"/>
      <c r="H1" s="97"/>
      <c r="I1" s="97"/>
      <c r="J1" s="97"/>
      <c r="K1" s="98"/>
      <c r="L1" s="93" t="s">
        <v>69</v>
      </c>
      <c r="M1" s="96">
        <v>2017</v>
      </c>
      <c r="N1" s="97"/>
      <c r="O1" s="97"/>
      <c r="P1" s="97"/>
      <c r="Q1" s="97"/>
      <c r="R1" s="97"/>
      <c r="S1" s="97"/>
      <c r="T1" s="97"/>
      <c r="U1" s="98"/>
      <c r="V1" s="93" t="s">
        <v>69</v>
      </c>
      <c r="W1" s="96">
        <v>2021</v>
      </c>
      <c r="X1" s="97"/>
      <c r="Y1" s="97"/>
      <c r="Z1" s="97"/>
      <c r="AA1" s="97"/>
      <c r="AB1" s="97"/>
      <c r="AC1" s="97"/>
      <c r="AD1" s="97"/>
      <c r="AE1" s="98"/>
      <c r="AF1" s="93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5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ref="C6:AE6" si="6">C33/SUM(C$30:C$48)</f>
        <v>5.5664981269340823E-2</v>
      </c>
      <c r="D6" s="11">
        <f t="shared" si="6"/>
        <v>3.3039951678315645E-2</v>
      </c>
      <c r="E6" s="11">
        <f t="shared" si="6"/>
        <v>2.7096991444716875E-2</v>
      </c>
      <c r="F6" s="11">
        <f t="shared" si="6"/>
        <v>1.8116422148603879E-2</v>
      </c>
      <c r="G6" s="11">
        <f t="shared" si="6"/>
        <v>2.809783707297352E-2</v>
      </c>
      <c r="H6" s="11">
        <f t="shared" si="6"/>
        <v>2.513739390588924E-2</v>
      </c>
      <c r="I6" s="11">
        <f t="shared" si="6"/>
        <v>7.3913631184948217E-2</v>
      </c>
      <c r="J6" s="11">
        <f t="shared" si="6"/>
        <v>3.7863834995388763E-2</v>
      </c>
      <c r="K6" s="12">
        <f t="shared" si="6"/>
        <v>2.5661777103355252E-2</v>
      </c>
      <c r="L6" s="11">
        <f t="shared" si="2"/>
        <v>3.9531800852080246E-2</v>
      </c>
      <c r="M6" s="10">
        <f t="shared" si="6"/>
        <v>5.0641303357150974E-2</v>
      </c>
      <c r="N6" s="11">
        <f t="shared" si="6"/>
        <v>3.0079989925362226E-2</v>
      </c>
      <c r="O6" s="11">
        <f t="shared" si="6"/>
        <v>2.3815144052012908E-2</v>
      </c>
      <c r="P6" s="11">
        <f t="shared" si="6"/>
        <v>1.6702362435564388E-2</v>
      </c>
      <c r="Q6" s="11">
        <f t="shared" si="6"/>
        <v>2.3367936869645948E-2</v>
      </c>
      <c r="R6" s="11">
        <f t="shared" si="6"/>
        <v>2.0461699895068207E-2</v>
      </c>
      <c r="S6" s="11">
        <f t="shared" si="6"/>
        <v>8.3756874613018478E-2</v>
      </c>
      <c r="T6" s="11">
        <f t="shared" si="6"/>
        <v>3.7044182905653096E-2</v>
      </c>
      <c r="U6" s="12">
        <f t="shared" si="6"/>
        <v>2.0788054100539442E-2</v>
      </c>
      <c r="V6" s="11">
        <f t="shared" si="3"/>
        <v>3.8841484151756887E-2</v>
      </c>
      <c r="W6" s="10">
        <f t="shared" si="6"/>
        <v>4.8680485170935699E-2</v>
      </c>
      <c r="X6" s="11">
        <f t="shared" si="6"/>
        <v>2.7984783851024896E-2</v>
      </c>
      <c r="Y6" s="11">
        <f t="shared" si="6"/>
        <v>2.0073569607914166E-2</v>
      </c>
      <c r="Z6" s="11">
        <f t="shared" si="6"/>
        <v>1.6551383399209488E-2</v>
      </c>
      <c r="AA6" s="11">
        <f t="shared" si="6"/>
        <v>2.0247010123505063E-2</v>
      </c>
      <c r="AB6" s="11">
        <f t="shared" si="6"/>
        <v>2.7502820529195136E-2</v>
      </c>
      <c r="AC6" s="11">
        <f t="shared" si="6"/>
        <v>8.0121897652626436E-2</v>
      </c>
      <c r="AD6" s="11">
        <f t="shared" si="6"/>
        <v>3.4648320858710092E-2</v>
      </c>
      <c r="AE6" s="12">
        <f t="shared" si="6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ref="C7:AE7" si="7">C34/SUM(C$30:C$48)</f>
        <v>5.0356151166765166E-2</v>
      </c>
      <c r="D7" s="11">
        <f t="shared" si="7"/>
        <v>2.9517214600051772E-2</v>
      </c>
      <c r="E7" s="11">
        <f t="shared" si="7"/>
        <v>2.7014122004861675E-2</v>
      </c>
      <c r="F7" s="11">
        <f t="shared" si="7"/>
        <v>2.1568070673607824E-2</v>
      </c>
      <c r="G7" s="11">
        <f t="shared" si="7"/>
        <v>3.2633414190418437E-2</v>
      </c>
      <c r="H7" s="11">
        <f t="shared" si="7"/>
        <v>2.6568241683197293E-2</v>
      </c>
      <c r="I7" s="11">
        <f t="shared" si="7"/>
        <v>8.4720997444595353E-2</v>
      </c>
      <c r="J7" s="11">
        <f t="shared" si="7"/>
        <v>2.7279544220442851E-2</v>
      </c>
      <c r="K7" s="12">
        <f t="shared" si="7"/>
        <v>2.8649468892261002E-2</v>
      </c>
      <c r="L7" s="11">
        <f t="shared" si="2"/>
        <v>3.7918360491955766E-2</v>
      </c>
      <c r="M7" s="10">
        <f t="shared" si="7"/>
        <v>4.7513755591818183E-2</v>
      </c>
      <c r="N7" s="11">
        <f t="shared" si="7"/>
        <v>2.9875348845576941E-2</v>
      </c>
      <c r="O7" s="11">
        <f t="shared" si="7"/>
        <v>2.4782540473055486E-2</v>
      </c>
      <c r="P7" s="11">
        <f t="shared" si="7"/>
        <v>1.8575372362516999E-2</v>
      </c>
      <c r="Q7" s="11">
        <f t="shared" si="7"/>
        <v>2.6902139511330549E-2</v>
      </c>
      <c r="R7" s="11">
        <f t="shared" si="7"/>
        <v>2.5850089333824905E-2</v>
      </c>
      <c r="S7" s="11">
        <f t="shared" si="7"/>
        <v>7.6121542827059407E-2</v>
      </c>
      <c r="T7" s="11">
        <f t="shared" si="7"/>
        <v>2.8532192348287955E-2</v>
      </c>
      <c r="U7" s="12">
        <f t="shared" si="7"/>
        <v>2.1702759752951294E-2</v>
      </c>
      <c r="V7" s="11">
        <f t="shared" si="3"/>
        <v>3.7229456216437112E-2</v>
      </c>
      <c r="W7" s="10">
        <f t="shared" si="7"/>
        <v>4.4105520338424853E-2</v>
      </c>
      <c r="X7" s="11">
        <f t="shared" si="7"/>
        <v>2.4414530383232221E-2</v>
      </c>
      <c r="Y7" s="11">
        <f t="shared" si="7"/>
        <v>2.0290919389576431E-2</v>
      </c>
      <c r="Z7" s="11">
        <f t="shared" si="7"/>
        <v>1.356048842461886E-2</v>
      </c>
      <c r="AA7" s="11">
        <f t="shared" si="7"/>
        <v>1.9456509728254863E-2</v>
      </c>
      <c r="AB7" s="11">
        <f t="shared" si="7"/>
        <v>2.5076101070736743E-2</v>
      </c>
      <c r="AC7" s="11">
        <f t="shared" si="7"/>
        <v>6.357687220351349E-2</v>
      </c>
      <c r="AD7" s="11">
        <f t="shared" si="7"/>
        <v>2.4151221373041661E-2</v>
      </c>
      <c r="AE7" s="12">
        <f t="shared" si="7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ref="C8:AE8" si="8">C35/SUM(C$30:C$48)</f>
        <v>5.438235694223275E-2</v>
      </c>
      <c r="D8" s="11">
        <f t="shared" si="8"/>
        <v>6.008715160928467E-2</v>
      </c>
      <c r="E8" s="11">
        <f t="shared" si="8"/>
        <v>5.7239105957128875E-2</v>
      </c>
      <c r="F8" s="11">
        <f t="shared" si="8"/>
        <v>3.0686228111689542E-2</v>
      </c>
      <c r="G8" s="11">
        <f t="shared" si="8"/>
        <v>4.2260460885385084E-2</v>
      </c>
      <c r="H8" s="11">
        <f t="shared" si="8"/>
        <v>2.9429937237813404E-2</v>
      </c>
      <c r="I8" s="11">
        <f t="shared" si="8"/>
        <v>5.8639134380813224E-2</v>
      </c>
      <c r="J8" s="11">
        <f t="shared" si="8"/>
        <v>3.5286715336016752E-2</v>
      </c>
      <c r="K8" s="12">
        <f t="shared" si="8"/>
        <v>4.6622829202495365E-2</v>
      </c>
      <c r="L8" s="11">
        <f t="shared" si="2"/>
        <v>5.3172836209965435E-2</v>
      </c>
      <c r="M8" s="10">
        <f t="shared" si="8"/>
        <v>5.386498732125846E-2</v>
      </c>
      <c r="N8" s="11">
        <f t="shared" si="8"/>
        <v>5.9411128426894784E-2</v>
      </c>
      <c r="O8" s="11">
        <f t="shared" si="8"/>
        <v>5.5957538255821095E-2</v>
      </c>
      <c r="P8" s="11">
        <f t="shared" si="8"/>
        <v>3.2533368079024731E-2</v>
      </c>
      <c r="Q8" s="11">
        <f t="shared" si="8"/>
        <v>4.3381018694349495E-2</v>
      </c>
      <c r="R8" s="11">
        <f t="shared" si="8"/>
        <v>3.2046737188395111E-2</v>
      </c>
      <c r="S8" s="11">
        <f t="shared" si="8"/>
        <v>5.4453888357277901E-2</v>
      </c>
      <c r="T8" s="11">
        <f t="shared" si="8"/>
        <v>4.336575455958961E-2</v>
      </c>
      <c r="U8" s="12">
        <f t="shared" si="8"/>
        <v>4.3812055351418966E-2</v>
      </c>
      <c r="V8" s="11">
        <f t="shared" si="3"/>
        <v>5.2434245725132354E-2</v>
      </c>
      <c r="W8" s="10">
        <f t="shared" si="8"/>
        <v>5.1793861071185124E-2</v>
      </c>
      <c r="X8" s="11">
        <f t="shared" si="8"/>
        <v>5.0534816465304756E-2</v>
      </c>
      <c r="Y8" s="11">
        <f t="shared" si="8"/>
        <v>5.1940011460261212E-2</v>
      </c>
      <c r="Z8" s="11">
        <f t="shared" si="8"/>
        <v>2.9282538114059852E-2</v>
      </c>
      <c r="AA8" s="11">
        <f t="shared" si="8"/>
        <v>3.6133518066759032E-2</v>
      </c>
      <c r="AB8" s="11">
        <f t="shared" si="8"/>
        <v>3.505971007088575E-2</v>
      </c>
      <c r="AC8" s="11">
        <f t="shared" si="8"/>
        <v>5.7246234747283235E-2</v>
      </c>
      <c r="AD8" s="11">
        <f t="shared" si="8"/>
        <v>3.5349881392422268E-2</v>
      </c>
      <c r="AE8" s="12">
        <f t="shared" si="8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ref="C9:AE9" si="9">C36/SUM(C$30:C$48)</f>
        <v>4.6719762588752003E-2</v>
      </c>
      <c r="D9" s="11">
        <f t="shared" si="9"/>
        <v>5.8195271378030891E-2</v>
      </c>
      <c r="E9" s="11">
        <f t="shared" si="9"/>
        <v>5.4400498795104654E-2</v>
      </c>
      <c r="F9" s="11">
        <f t="shared" si="9"/>
        <v>4.2498816848083293E-2</v>
      </c>
      <c r="G9" s="11">
        <f t="shared" si="9"/>
        <v>4.3043763897311502E-2</v>
      </c>
      <c r="H9" s="11">
        <f t="shared" si="9"/>
        <v>3.0307957464797891E-2</v>
      </c>
      <c r="I9" s="11">
        <f t="shared" si="9"/>
        <v>2.6287840264680704E-2</v>
      </c>
      <c r="J9" s="11">
        <f t="shared" si="9"/>
        <v>4.5388334870411391E-2</v>
      </c>
      <c r="K9" s="12">
        <f t="shared" si="9"/>
        <v>4.2003034901365706E-2</v>
      </c>
      <c r="L9" s="11">
        <f t="shared" si="2"/>
        <v>4.8753100561546144E-2</v>
      </c>
      <c r="M9" s="10">
        <f t="shared" si="9"/>
        <v>4.8839686021671845E-2</v>
      </c>
      <c r="N9" s="11">
        <f t="shared" si="9"/>
        <v>5.3134719045787877E-2</v>
      </c>
      <c r="O9" s="11">
        <f t="shared" si="9"/>
        <v>5.755121811446387E-2</v>
      </c>
      <c r="P9" s="11">
        <f t="shared" si="9"/>
        <v>4.2012427013689256E-2</v>
      </c>
      <c r="Q9" s="11">
        <f t="shared" si="9"/>
        <v>4.3328269401190021E-2</v>
      </c>
      <c r="R9" s="11">
        <f t="shared" si="9"/>
        <v>3.6896287683276144E-2</v>
      </c>
      <c r="S9" s="11">
        <f t="shared" si="9"/>
        <v>2.9061278007529376E-2</v>
      </c>
      <c r="T9" s="11">
        <f t="shared" si="9"/>
        <v>3.9308372393912223E-2</v>
      </c>
      <c r="U9" s="12">
        <f t="shared" si="9"/>
        <v>4.2006098037682744E-2</v>
      </c>
      <c r="V9" s="11">
        <f t="shared" si="3"/>
        <v>4.7991857361808894E-2</v>
      </c>
      <c r="W9" s="10">
        <f t="shared" si="9"/>
        <v>4.7891610096579752E-2</v>
      </c>
      <c r="X9" s="11">
        <f t="shared" si="9"/>
        <v>4.9847896234638096E-2</v>
      </c>
      <c r="Y9" s="11">
        <f t="shared" si="9"/>
        <v>5.7352350341502614E-2</v>
      </c>
      <c r="Z9" s="11">
        <f t="shared" si="9"/>
        <v>4.2887140033879168E-2</v>
      </c>
      <c r="AA9" s="11">
        <f t="shared" si="9"/>
        <v>4.6138023069011533E-2</v>
      </c>
      <c r="AB9" s="11">
        <f t="shared" si="9"/>
        <v>4.3673854581319935E-2</v>
      </c>
      <c r="AC9" s="11">
        <f t="shared" si="9"/>
        <v>3.4184449611749025E-2</v>
      </c>
      <c r="AD9" s="11">
        <f t="shared" si="9"/>
        <v>3.8015811420528539E-2</v>
      </c>
      <c r="AE9" s="12">
        <f t="shared" si="9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ref="C10:AE10" si="10">C37/SUM(C$30:C$48)</f>
        <v>4.1111424844730439E-2</v>
      </c>
      <c r="D10" s="11">
        <f t="shared" si="10"/>
        <v>4.0046595909914572E-2</v>
      </c>
      <c r="E10" s="11">
        <f t="shared" si="10"/>
        <v>2.8017762998663567E-2</v>
      </c>
      <c r="F10" s="11">
        <f t="shared" si="10"/>
        <v>4.1710048903612559E-2</v>
      </c>
      <c r="G10" s="11">
        <f t="shared" si="10"/>
        <v>2.6733373761875883E-2</v>
      </c>
      <c r="H10" s="11">
        <f t="shared" si="10"/>
        <v>2.8747032616825468E-2</v>
      </c>
      <c r="I10" s="11">
        <f t="shared" si="10"/>
        <v>2.8064393622430916E-2</v>
      </c>
      <c r="J10" s="11">
        <f t="shared" si="10"/>
        <v>2.7512260711422931E-2</v>
      </c>
      <c r="K10" s="12">
        <f t="shared" si="10"/>
        <v>2.2883156297420333E-2</v>
      </c>
      <c r="L10" s="11">
        <f t="shared" si="2"/>
        <v>3.4587768858878515E-2</v>
      </c>
      <c r="M10" s="10">
        <f t="shared" si="10"/>
        <v>3.8618035900003372E-2</v>
      </c>
      <c r="N10" s="11">
        <f t="shared" si="10"/>
        <v>3.6010083632986342E-2</v>
      </c>
      <c r="O10" s="11">
        <f t="shared" si="10"/>
        <v>2.6531767852147989E-2</v>
      </c>
      <c r="P10" s="11">
        <f t="shared" si="10"/>
        <v>3.9292490858897203E-2</v>
      </c>
      <c r="Q10" s="11">
        <f t="shared" si="10"/>
        <v>2.5235261847491242E-2</v>
      </c>
      <c r="R10" s="11">
        <f t="shared" si="10"/>
        <v>2.894132327500638E-2</v>
      </c>
      <c r="S10" s="11">
        <f t="shared" si="10"/>
        <v>4.1246022574888165E-2</v>
      </c>
      <c r="T10" s="11">
        <f t="shared" si="10"/>
        <v>2.7238369783568455E-2</v>
      </c>
      <c r="U10" s="12">
        <f t="shared" si="10"/>
        <v>2.0256430302556486E-2</v>
      </c>
      <c r="V10" s="11">
        <f t="shared" si="3"/>
        <v>3.32413318253858E-2</v>
      </c>
      <c r="W10" s="10">
        <f t="shared" si="10"/>
        <v>3.8145556386696859E-2</v>
      </c>
      <c r="X10" s="11">
        <f t="shared" si="10"/>
        <v>3.5491840657596238E-2</v>
      </c>
      <c r="Y10" s="11">
        <f t="shared" si="10"/>
        <v>2.5024863497750759E-2</v>
      </c>
      <c r="Z10" s="11">
        <f t="shared" si="10"/>
        <v>3.817581874647092E-2</v>
      </c>
      <c r="AA10" s="11">
        <f t="shared" si="10"/>
        <v>2.3196511598255799E-2</v>
      </c>
      <c r="AB10" s="11">
        <f t="shared" si="10"/>
        <v>3.1973093215829022E-2</v>
      </c>
      <c r="AC10" s="11">
        <f t="shared" si="10"/>
        <v>3.961425547385479E-2</v>
      </c>
      <c r="AD10" s="11">
        <f t="shared" si="10"/>
        <v>2.6019126294050329E-2</v>
      </c>
      <c r="AE10" s="12">
        <f t="shared" si="10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ref="C11:AE11" si="11">C38/SUM(C$30:C$48)</f>
        <v>2.0145889943516519E-2</v>
      </c>
      <c r="D11" s="11">
        <f t="shared" si="11"/>
        <v>2.4329105185952195E-2</v>
      </c>
      <c r="E11" s="11">
        <f t="shared" si="11"/>
        <v>2.1444769491418408E-2</v>
      </c>
      <c r="F11" s="11">
        <f t="shared" si="11"/>
        <v>4.4290897617920807E-2</v>
      </c>
      <c r="G11" s="11">
        <f t="shared" si="11"/>
        <v>1.5691328077622801E-2</v>
      </c>
      <c r="H11" s="11">
        <f t="shared" si="11"/>
        <v>1.1219147344801795E-2</v>
      </c>
      <c r="I11" s="11">
        <f t="shared" si="11"/>
        <v>1.8119556891546568E-2</v>
      </c>
      <c r="J11" s="11">
        <f t="shared" si="11"/>
        <v>1.4238801596262746E-2</v>
      </c>
      <c r="K11" s="12">
        <f t="shared" si="11"/>
        <v>2.0455235204855843E-2</v>
      </c>
      <c r="L11" s="11">
        <f t="shared" si="2"/>
        <v>2.2001785693779356E-2</v>
      </c>
      <c r="M11" s="10">
        <f t="shared" si="11"/>
        <v>2.0576892103971924E-2</v>
      </c>
      <c r="N11" s="11">
        <f t="shared" si="11"/>
        <v>2.5175350419739093E-2</v>
      </c>
      <c r="O11" s="11">
        <f t="shared" si="11"/>
        <v>2.2669004427646525E-2</v>
      </c>
      <c r="P11" s="11">
        <f t="shared" si="11"/>
        <v>5.1727648069578247E-2</v>
      </c>
      <c r="Q11" s="11">
        <f t="shared" si="11"/>
        <v>1.7681563067054901E-2</v>
      </c>
      <c r="R11" s="11">
        <f t="shared" si="11"/>
        <v>1.144323757125436E-2</v>
      </c>
      <c r="S11" s="11">
        <f t="shared" si="11"/>
        <v>1.7830122145442145E-2</v>
      </c>
      <c r="T11" s="11">
        <f t="shared" si="11"/>
        <v>1.4538479871979662E-2</v>
      </c>
      <c r="U11" s="12">
        <f t="shared" si="11"/>
        <v>1.6581971698850756E-2</v>
      </c>
      <c r="V11" s="11">
        <f t="shared" si="3"/>
        <v>2.1997167202907012E-2</v>
      </c>
      <c r="W11" s="10">
        <f t="shared" si="11"/>
        <v>2.0611595187096148E-2</v>
      </c>
      <c r="X11" s="11">
        <f t="shared" si="11"/>
        <v>2.5190923417052938E-2</v>
      </c>
      <c r="Y11" s="11">
        <f t="shared" si="11"/>
        <v>2.1907870038003281E-2</v>
      </c>
      <c r="Z11" s="11">
        <f t="shared" si="11"/>
        <v>5.0721696781479392E-2</v>
      </c>
      <c r="AA11" s="11">
        <f t="shared" si="11"/>
        <v>1.67960083980042E-2</v>
      </c>
      <c r="AB11" s="11">
        <f t="shared" si="11"/>
        <v>1.7426967806940984E-2</v>
      </c>
      <c r="AC11" s="11">
        <f t="shared" si="11"/>
        <v>2.210387605748447E-2</v>
      </c>
      <c r="AD11" s="11">
        <f t="shared" si="11"/>
        <v>1.597804115529481E-2</v>
      </c>
      <c r="AE11" s="12">
        <f t="shared" si="11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ref="C12:AE12" si="12">C39/SUM(C$30:C$48)</f>
        <v>2.6552152625435973E-2</v>
      </c>
      <c r="D12" s="11">
        <f t="shared" si="12"/>
        <v>3.8534386055742512E-2</v>
      </c>
      <c r="E12" s="11">
        <f t="shared" si="12"/>
        <v>3.5276073619631899E-2</v>
      </c>
      <c r="F12" s="11">
        <f t="shared" si="12"/>
        <v>8.5414103170847133E-2</v>
      </c>
      <c r="G12" s="11">
        <f t="shared" si="12"/>
        <v>2.7744087325651909E-2</v>
      </c>
      <c r="H12" s="11">
        <f t="shared" si="12"/>
        <v>1.4958863126402393E-2</v>
      </c>
      <c r="I12" s="11">
        <f t="shared" si="12"/>
        <v>1.9065764658174399E-2</v>
      </c>
      <c r="J12" s="11">
        <f t="shared" si="12"/>
        <v>2.213392403099439E-2</v>
      </c>
      <c r="K12" s="12">
        <f t="shared" si="12"/>
        <v>2.8359467206204688E-2</v>
      </c>
      <c r="L12" s="11">
        <f t="shared" si="2"/>
        <v>3.3673749153087358E-2</v>
      </c>
      <c r="M12" s="10">
        <f t="shared" si="12"/>
        <v>2.6516111552949195E-2</v>
      </c>
      <c r="N12" s="11">
        <f t="shared" si="12"/>
        <v>3.8868312340756633E-2</v>
      </c>
      <c r="O12" s="11">
        <f t="shared" si="12"/>
        <v>3.8403864127876434E-2</v>
      </c>
      <c r="P12" s="11">
        <f t="shared" si="12"/>
        <v>0.10380546756028242</v>
      </c>
      <c r="Q12" s="11">
        <f t="shared" si="12"/>
        <v>3.0710638477444402E-2</v>
      </c>
      <c r="R12" s="11">
        <f t="shared" si="12"/>
        <v>1.9511641757182157E-2</v>
      </c>
      <c r="S12" s="11">
        <f t="shared" si="12"/>
        <v>2.1661032325994894E-2</v>
      </c>
      <c r="T12" s="11">
        <f t="shared" si="12"/>
        <v>2.4588303390042105E-2</v>
      </c>
      <c r="U12" s="12">
        <f t="shared" si="12"/>
        <v>2.8566961144554766E-2</v>
      </c>
      <c r="V12" s="11">
        <f t="shared" si="3"/>
        <v>3.4193719739666714E-2</v>
      </c>
      <c r="W12" s="10">
        <f t="shared" si="12"/>
        <v>2.7885074432533311E-2</v>
      </c>
      <c r="X12" s="11">
        <f t="shared" si="12"/>
        <v>3.9890439109428126E-2</v>
      </c>
      <c r="Y12" s="11">
        <f t="shared" si="12"/>
        <v>3.6816089152928624E-2</v>
      </c>
      <c r="Z12" s="11">
        <f t="shared" si="12"/>
        <v>0.12879376058723885</v>
      </c>
      <c r="AA12" s="11">
        <f t="shared" si="12"/>
        <v>2.8305014152507076E-2</v>
      </c>
      <c r="AB12" s="11">
        <f t="shared" si="12"/>
        <v>2.3805975974058226E-2</v>
      </c>
      <c r="AC12" s="11">
        <f t="shared" si="12"/>
        <v>2.6948017301922519E-2</v>
      </c>
      <c r="AD12" s="11">
        <f t="shared" si="12"/>
        <v>2.4620389979961677E-2</v>
      </c>
      <c r="AE12" s="12">
        <f t="shared" si="12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ref="C13:AE13" si="13">C40/SUM(C$30:C$48)</f>
        <v>6.2258722016898173E-2</v>
      </c>
      <c r="D13" s="11">
        <f t="shared" si="13"/>
        <v>9.7251704202260758E-2</v>
      </c>
      <c r="E13" s="11">
        <f t="shared" si="13"/>
        <v>9.5326163592166599E-2</v>
      </c>
      <c r="F13" s="11">
        <f t="shared" si="13"/>
        <v>0.1614450228742704</v>
      </c>
      <c r="G13" s="11">
        <f t="shared" si="13"/>
        <v>6.6542854255104103E-2</v>
      </c>
      <c r="H13" s="11">
        <f t="shared" si="13"/>
        <v>3.4470423726057686E-2</v>
      </c>
      <c r="I13" s="11">
        <f t="shared" si="13"/>
        <v>8.1238695391903815E-2</v>
      </c>
      <c r="J13" s="11">
        <f t="shared" si="13"/>
        <v>6.8160074469277118E-2</v>
      </c>
      <c r="K13" s="12">
        <f t="shared" si="13"/>
        <v>7.3019726858877088E-2</v>
      </c>
      <c r="L13" s="11">
        <f t="shared" si="2"/>
        <v>8.4433602048667331E-2</v>
      </c>
      <c r="M13" s="10">
        <f t="shared" si="13"/>
        <v>7.0341732973592516E-2</v>
      </c>
      <c r="N13" s="11">
        <f t="shared" si="13"/>
        <v>0.11120556084024279</v>
      </c>
      <c r="O13" s="11">
        <f t="shared" si="13"/>
        <v>9.8514794070091893E-2</v>
      </c>
      <c r="P13" s="11">
        <f t="shared" si="13"/>
        <v>0.17176315382297613</v>
      </c>
      <c r="Q13" s="11">
        <f t="shared" si="13"/>
        <v>6.7983289023927085E-2</v>
      </c>
      <c r="R13" s="11">
        <f t="shared" si="13"/>
        <v>4.1051019540001704E-2</v>
      </c>
      <c r="S13" s="11">
        <f t="shared" si="13"/>
        <v>6.2569325567766051E-2</v>
      </c>
      <c r="T13" s="11">
        <f t="shared" si="13"/>
        <v>5.6150764376752052E-2</v>
      </c>
      <c r="U13" s="12">
        <f t="shared" si="13"/>
        <v>6.9197091705105157E-2</v>
      </c>
      <c r="V13" s="11">
        <f t="shared" si="3"/>
        <v>8.5654343755645665E-2</v>
      </c>
      <c r="W13" s="10">
        <f t="shared" si="13"/>
        <v>7.3997247872717942E-2</v>
      </c>
      <c r="X13" s="11">
        <f t="shared" si="13"/>
        <v>0.12520997246546639</v>
      </c>
      <c r="Y13" s="11">
        <f t="shared" si="13"/>
        <v>0.10207536109702363</v>
      </c>
      <c r="Z13" s="11">
        <f t="shared" si="13"/>
        <v>0.18403267927724448</v>
      </c>
      <c r="AA13" s="11">
        <f t="shared" si="13"/>
        <v>5.2292026146013075E-2</v>
      </c>
      <c r="AB13" s="11">
        <f t="shared" si="13"/>
        <v>6.8260354357806308E-2</v>
      </c>
      <c r="AC13" s="11">
        <f t="shared" si="13"/>
        <v>6.6892329530649372E-2</v>
      </c>
      <c r="AD13" s="11">
        <f t="shared" si="13"/>
        <v>5.8146213984732291E-2</v>
      </c>
      <c r="AE13" s="12">
        <f t="shared" si="13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ref="C14:AE14" si="14">C41/SUM(C$30:C$48)</f>
        <v>8.1411206844321182E-2</v>
      </c>
      <c r="D14" s="11">
        <f t="shared" si="14"/>
        <v>9.3530503063249629E-2</v>
      </c>
      <c r="E14" s="11">
        <f t="shared" si="14"/>
        <v>0.1179666207157815</v>
      </c>
      <c r="F14" s="11">
        <f t="shared" si="14"/>
        <v>0.13954251459220698</v>
      </c>
      <c r="G14" s="11">
        <f t="shared" si="14"/>
        <v>0.11586567616737417</v>
      </c>
      <c r="H14" s="11">
        <f t="shared" si="14"/>
        <v>8.7379272218789633E-2</v>
      </c>
      <c r="I14" s="11">
        <f t="shared" si="14"/>
        <v>8.0395476225725265E-2</v>
      </c>
      <c r="J14" s="11">
        <f t="shared" si="14"/>
        <v>0.12190034562708475</v>
      </c>
      <c r="K14" s="12">
        <f t="shared" si="14"/>
        <v>0.1120485584218513</v>
      </c>
      <c r="L14" s="11">
        <f t="shared" si="2"/>
        <v>0.1010101227592701</v>
      </c>
      <c r="M14" s="10">
        <f t="shared" si="14"/>
        <v>8.5142962018710355E-2</v>
      </c>
      <c r="N14" s="11">
        <f t="shared" si="14"/>
        <v>0.10133106653983417</v>
      </c>
      <c r="O14" s="11">
        <f t="shared" si="14"/>
        <v>0.12380081730670833</v>
      </c>
      <c r="P14" s="11">
        <f t="shared" si="14"/>
        <v>0.13447396923377608</v>
      </c>
      <c r="Q14" s="11">
        <f t="shared" si="14"/>
        <v>0.11052031902772502</v>
      </c>
      <c r="R14" s="11">
        <f t="shared" si="14"/>
        <v>9.0780182070843138E-2</v>
      </c>
      <c r="S14" s="11">
        <f t="shared" si="14"/>
        <v>7.4810358357311008E-2</v>
      </c>
      <c r="T14" s="11">
        <f t="shared" si="14"/>
        <v>0.11892953206750576</v>
      </c>
      <c r="U14" s="12">
        <f t="shared" si="14"/>
        <v>0.10184504729888202</v>
      </c>
      <c r="V14" s="11">
        <f t="shared" si="3"/>
        <v>0.10232530939553652</v>
      </c>
      <c r="W14" s="10">
        <f t="shared" si="14"/>
        <v>8.80080776722824E-2</v>
      </c>
      <c r="X14" s="11">
        <f t="shared" si="14"/>
        <v>0.11069228859885591</v>
      </c>
      <c r="Y14" s="11">
        <f t="shared" si="14"/>
        <v>0.12231194304118449</v>
      </c>
      <c r="Z14" s="11">
        <f t="shared" si="14"/>
        <v>0.12990542066629024</v>
      </c>
      <c r="AA14" s="11">
        <f t="shared" si="14"/>
        <v>0.10149005074502537</v>
      </c>
      <c r="AB14" s="11">
        <f t="shared" si="14"/>
        <v>0.10040374367598329</v>
      </c>
      <c r="AC14" s="11">
        <f t="shared" si="14"/>
        <v>7.4401741111422698E-2</v>
      </c>
      <c r="AD14" s="11">
        <f t="shared" si="14"/>
        <v>0.11795424948369529</v>
      </c>
      <c r="AE14" s="12">
        <f t="shared" si="14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15" si="15">C42/SUM(C$30:C$48)</f>
        <v>1.9642900011317275E-2</v>
      </c>
      <c r="D15" s="11">
        <f t="shared" si="15"/>
        <v>1.4254896884977133E-2</v>
      </c>
      <c r="E15" s="11">
        <f t="shared" si="15"/>
        <v>1.5304538614528197E-2</v>
      </c>
      <c r="F15" s="11">
        <f t="shared" si="15"/>
        <v>3.1247830888152705E-2</v>
      </c>
      <c r="G15" s="11">
        <f t="shared" si="15"/>
        <v>1.3038204972710734E-2</v>
      </c>
      <c r="H15" s="11">
        <f t="shared" si="15"/>
        <v>1.2552437319111574E-2</v>
      </c>
      <c r="I15" s="11">
        <f t="shared" si="15"/>
        <v>8.1225821816847649E-2</v>
      </c>
      <c r="J15" s="11">
        <f t="shared" si="15"/>
        <v>1.7893312417579577E-2</v>
      </c>
      <c r="K15" s="12">
        <f t="shared" si="15"/>
        <v>2.618782667341089E-2</v>
      </c>
      <c r="L15" s="11">
        <f t="shared" si="2"/>
        <v>2.166589152628013E-2</v>
      </c>
      <c r="M15" s="10">
        <f t="shared" si="15"/>
        <v>1.9049949622134799E-2</v>
      </c>
      <c r="N15" s="11">
        <f t="shared" si="15"/>
        <v>1.3836885317789607E-2</v>
      </c>
      <c r="O15" s="11">
        <f t="shared" si="15"/>
        <v>1.5789437777580691E-2</v>
      </c>
      <c r="P15" s="11">
        <f t="shared" si="15"/>
        <v>2.1849067973973305E-2</v>
      </c>
      <c r="Q15" s="11">
        <f t="shared" si="15"/>
        <v>1.4875300670971009E-2</v>
      </c>
      <c r="R15" s="11">
        <f t="shared" si="15"/>
        <v>1.1202178043731035E-2</v>
      </c>
      <c r="S15" s="11">
        <f t="shared" si="15"/>
        <v>6.107603214388594E-2</v>
      </c>
      <c r="T15" s="11">
        <f t="shared" si="15"/>
        <v>1.5781230493354972E-2</v>
      </c>
      <c r="U15" s="12">
        <f t="shared" si="15"/>
        <v>1.9795168477835978E-2</v>
      </c>
      <c r="V15" s="11">
        <f t="shared" si="3"/>
        <v>2.1451354246184617E-2</v>
      </c>
      <c r="W15" s="10">
        <f t="shared" si="15"/>
        <v>2.0967737817751988E-2</v>
      </c>
      <c r="X15" s="11">
        <f t="shared" si="15"/>
        <v>1.6656372483938187E-2</v>
      </c>
      <c r="Y15" s="11">
        <f t="shared" si="15"/>
        <v>1.4043759756041337E-2</v>
      </c>
      <c r="Z15" s="11">
        <f t="shared" si="15"/>
        <v>2.1077428006775832E-2</v>
      </c>
      <c r="AA15" s="11">
        <f t="shared" si="15"/>
        <v>1.3107006553503277E-2</v>
      </c>
      <c r="AB15" s="11">
        <f t="shared" si="15"/>
        <v>1.7661124947669426E-2</v>
      </c>
      <c r="AC15" s="11">
        <f t="shared" si="15"/>
        <v>4.3761058762510519E-2</v>
      </c>
      <c r="AD15" s="11">
        <f t="shared" si="15"/>
        <v>1.6113968508701542E-2</v>
      </c>
      <c r="AE15" s="12">
        <f t="shared" si="15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ref="C16:AE16" si="16">C43/SUM(C$30:C$48)</f>
        <v>4.1208593354359835E-2</v>
      </c>
      <c r="D16" s="11">
        <f t="shared" si="16"/>
        <v>6.2011390111312452E-2</v>
      </c>
      <c r="E16" s="11">
        <f t="shared" si="16"/>
        <v>4.9450693998674092E-2</v>
      </c>
      <c r="F16" s="11">
        <f t="shared" si="16"/>
        <v>8.0681495504022718E-2</v>
      </c>
      <c r="G16" s="11">
        <f t="shared" si="16"/>
        <v>2.4800384071154234E-2</v>
      </c>
      <c r="H16" s="11">
        <f t="shared" si="16"/>
        <v>2.0877369841631167E-2</v>
      </c>
      <c r="I16" s="11">
        <f t="shared" si="16"/>
        <v>7.562581666741762E-2</v>
      </c>
      <c r="J16" s="11">
        <f t="shared" si="16"/>
        <v>3.0442764671912842E-2</v>
      </c>
      <c r="K16" s="12">
        <f t="shared" si="16"/>
        <v>5.3717754172989379E-2</v>
      </c>
      <c r="L16" s="11">
        <f t="shared" si="2"/>
        <v>5.0608413431173276E-2</v>
      </c>
      <c r="M16" s="10">
        <f t="shared" si="16"/>
        <v>3.9144912210171211E-2</v>
      </c>
      <c r="N16" s="11">
        <f t="shared" si="16"/>
        <v>7.36483006919567E-2</v>
      </c>
      <c r="O16" s="11">
        <f t="shared" si="16"/>
        <v>4.7357397717271918E-2</v>
      </c>
      <c r="P16" s="11">
        <f t="shared" si="16"/>
        <v>7.3430132657963956E-2</v>
      </c>
      <c r="Q16" s="11">
        <f t="shared" si="16"/>
        <v>3.3411402287209353E-2</v>
      </c>
      <c r="R16" s="11">
        <f t="shared" si="16"/>
        <v>2.5651569722923342E-2</v>
      </c>
      <c r="S16" s="11">
        <f t="shared" si="16"/>
        <v>6.3062675279868349E-2</v>
      </c>
      <c r="T16" s="11">
        <f t="shared" si="16"/>
        <v>3.2600923834708494E-2</v>
      </c>
      <c r="U16" s="12">
        <f t="shared" si="16"/>
        <v>3.9777968884371823E-2</v>
      </c>
      <c r="V16" s="11">
        <f t="shared" si="3"/>
        <v>4.9667238586748229E-2</v>
      </c>
      <c r="W16" s="10">
        <f t="shared" si="16"/>
        <v>3.820299874648006E-2</v>
      </c>
      <c r="X16" s="11">
        <f t="shared" si="16"/>
        <v>9.4512142325253845E-2</v>
      </c>
      <c r="Y16" s="11">
        <f t="shared" si="16"/>
        <v>3.9720672598778886E-2</v>
      </c>
      <c r="Z16" s="11">
        <f t="shared" si="16"/>
        <v>6.9743435911914176E-2</v>
      </c>
      <c r="AA16" s="11">
        <f t="shared" si="16"/>
        <v>3.1424515712257857E-2</v>
      </c>
      <c r="AB16" s="11">
        <f t="shared" si="16"/>
        <v>3.5002944703436435E-2</v>
      </c>
      <c r="AC16" s="11">
        <f t="shared" si="16"/>
        <v>6.4368512089259255E-2</v>
      </c>
      <c r="AD16" s="11">
        <f t="shared" si="16"/>
        <v>4.0957980908783977E-2</v>
      </c>
      <c r="AE16" s="12">
        <f t="shared" si="16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ref="C17:AE17" si="17">C44/SUM(C$30:C$48)</f>
        <v>7.3563420743076174E-2</v>
      </c>
      <c r="D17" s="11">
        <f t="shared" si="17"/>
        <v>5.1494952109759254E-2</v>
      </c>
      <c r="E17" s="11">
        <f t="shared" si="17"/>
        <v>5.120805227877806E-2</v>
      </c>
      <c r="F17" s="11">
        <f t="shared" si="17"/>
        <v>4.1407162012935796E-2</v>
      </c>
      <c r="G17" s="11">
        <f t="shared" si="17"/>
        <v>6.9991914291489793E-2</v>
      </c>
      <c r="H17" s="11">
        <f t="shared" si="17"/>
        <v>5.4209619199375628E-2</v>
      </c>
      <c r="I17" s="11">
        <f t="shared" si="17"/>
        <v>7.3063975231241599E-2</v>
      </c>
      <c r="J17" s="11">
        <f t="shared" si="17"/>
        <v>8.6122339921221161E-2</v>
      </c>
      <c r="K17" s="12">
        <f t="shared" si="17"/>
        <v>6.3800370932389147E-2</v>
      </c>
      <c r="L17" s="11">
        <f t="shared" si="2"/>
        <v>6.1625096174825734E-2</v>
      </c>
      <c r="M17" s="10">
        <f t="shared" si="17"/>
        <v>7.4424400116362255E-2</v>
      </c>
      <c r="N17" s="11">
        <f t="shared" si="17"/>
        <v>4.7782567728326598E-2</v>
      </c>
      <c r="O17" s="11">
        <f t="shared" si="17"/>
        <v>5.1465762489851886E-2</v>
      </c>
      <c r="P17" s="11">
        <f t="shared" si="17"/>
        <v>4.0505875550705638E-2</v>
      </c>
      <c r="Q17" s="11">
        <f t="shared" si="17"/>
        <v>7.4714098831075659E-2</v>
      </c>
      <c r="R17" s="11">
        <f t="shared" si="17"/>
        <v>7.5777771475567912E-2</v>
      </c>
      <c r="S17" s="11">
        <f t="shared" si="17"/>
        <v>6.4264594377137704E-2</v>
      </c>
      <c r="T17" s="11">
        <f t="shared" si="17"/>
        <v>7.9490642485047266E-2</v>
      </c>
      <c r="U17" s="12">
        <f t="shared" si="17"/>
        <v>5.7735908060354939E-2</v>
      </c>
      <c r="V17" s="11">
        <f t="shared" si="3"/>
        <v>6.153588563547701E-2</v>
      </c>
      <c r="W17" s="10">
        <f t="shared" si="17"/>
        <v>7.3553026957061202E-2</v>
      </c>
      <c r="X17" s="11">
        <f t="shared" si="17"/>
        <v>4.8055553952100302E-2</v>
      </c>
      <c r="Y17" s="11">
        <f t="shared" si="17"/>
        <v>5.242246211198124E-2</v>
      </c>
      <c r="Z17" s="11">
        <f t="shared" si="17"/>
        <v>3.715238565782044E-2</v>
      </c>
      <c r="AA17" s="11">
        <f t="shared" si="17"/>
        <v>7.8778039389019699E-2</v>
      </c>
      <c r="AB17" s="11">
        <f t="shared" si="17"/>
        <v>7.7002220945001448E-2</v>
      </c>
      <c r="AC17" s="11">
        <f t="shared" si="17"/>
        <v>7.2416437322718574E-2</v>
      </c>
      <c r="AD17" s="11">
        <f t="shared" si="17"/>
        <v>7.7325125075088902E-2</v>
      </c>
      <c r="AE17" s="12">
        <f t="shared" si="1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ref="C18:AE18" si="18">C45/SUM(C$30:C$48)</f>
        <v>3.6642816560714886E-2</v>
      </c>
      <c r="D18" s="11">
        <f t="shared" si="18"/>
        <v>2.1289584951246873E-2</v>
      </c>
      <c r="E18" s="11">
        <f t="shared" si="18"/>
        <v>1.4637636931883951E-2</v>
      </c>
      <c r="F18" s="11">
        <f t="shared" si="18"/>
        <v>1.7081558605458274E-2</v>
      </c>
      <c r="G18" s="11">
        <f t="shared" si="18"/>
        <v>1.327824944410754E-2</v>
      </c>
      <c r="H18" s="11">
        <f t="shared" si="18"/>
        <v>1.3755650222756984E-2</v>
      </c>
      <c r="I18" s="11">
        <f t="shared" si="18"/>
        <v>8.236513320931789E-2</v>
      </c>
      <c r="J18" s="11">
        <f t="shared" si="18"/>
        <v>2.2375259651270029E-2</v>
      </c>
      <c r="K18" s="12">
        <f t="shared" si="18"/>
        <v>2.1298263361996292E-2</v>
      </c>
      <c r="L18" s="11">
        <f t="shared" si="2"/>
        <v>2.7195226283575062E-2</v>
      </c>
      <c r="M18" s="10">
        <f t="shared" si="18"/>
        <v>3.3487858747207992E-2</v>
      </c>
      <c r="N18" s="11">
        <f t="shared" si="18"/>
        <v>2.0270710914115961E-2</v>
      </c>
      <c r="O18" s="11">
        <f t="shared" si="18"/>
        <v>1.5783979969845614E-2</v>
      </c>
      <c r="P18" s="11">
        <f t="shared" si="18"/>
        <v>1.7223547806542505E-2</v>
      </c>
      <c r="Q18" s="11">
        <f t="shared" si="18"/>
        <v>1.4622104063805545E-2</v>
      </c>
      <c r="R18" s="11">
        <f t="shared" si="18"/>
        <v>1.8178724369700236E-2</v>
      </c>
      <c r="S18" s="11">
        <f t="shared" si="18"/>
        <v>6.3423582116238483E-2</v>
      </c>
      <c r="T18" s="11">
        <f t="shared" si="18"/>
        <v>2.2420583128099782E-2</v>
      </c>
      <c r="U18" s="12">
        <f t="shared" si="18"/>
        <v>1.3744038777265264E-2</v>
      </c>
      <c r="V18" s="11">
        <f t="shared" si="3"/>
        <v>2.6821067683939489E-2</v>
      </c>
      <c r="W18" s="10">
        <f t="shared" si="18"/>
        <v>3.2844264827149555E-2</v>
      </c>
      <c r="X18" s="11">
        <f t="shared" si="18"/>
        <v>1.7738704780156662E-2</v>
      </c>
      <c r="Y18" s="11">
        <f t="shared" si="18"/>
        <v>1.3371951339994336E-2</v>
      </c>
      <c r="Z18" s="11">
        <f t="shared" si="18"/>
        <v>1.5227978543195934E-2</v>
      </c>
      <c r="AA18" s="11">
        <f t="shared" si="18"/>
        <v>1.2104006052003026E-2</v>
      </c>
      <c r="AB18" s="11">
        <f t="shared" si="18"/>
        <v>2.1535361276085459E-2</v>
      </c>
      <c r="AC18" s="11">
        <f t="shared" si="18"/>
        <v>5.481671923585657E-2</v>
      </c>
      <c r="AD18" s="11">
        <f t="shared" si="18"/>
        <v>1.9244682390392127E-2</v>
      </c>
      <c r="AE18" s="12">
        <f t="shared" si="18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ref="C19:AE19" si="19">C46/SUM(C$30:C$48)</f>
        <v>5.3434678183611903E-2</v>
      </c>
      <c r="D19" s="11">
        <f t="shared" si="19"/>
        <v>5.3973595651048409E-2</v>
      </c>
      <c r="E19" s="11">
        <f t="shared" si="19"/>
        <v>3.7187332288038388E-2</v>
      </c>
      <c r="F19" s="11">
        <f t="shared" si="19"/>
        <v>3.0831361413472157E-2</v>
      </c>
      <c r="G19" s="11">
        <f t="shared" si="19"/>
        <v>3.3517788558722457E-2</v>
      </c>
      <c r="H19" s="11">
        <f t="shared" si="19"/>
        <v>7.0371695229423437E-2</v>
      </c>
      <c r="I19" s="11">
        <f t="shared" si="19"/>
        <v>5.9456606396879448E-2</v>
      </c>
      <c r="J19" s="11">
        <f t="shared" si="19"/>
        <v>5.953232604442299E-2</v>
      </c>
      <c r="K19" s="12">
        <f t="shared" si="19"/>
        <v>3.3302984319676279E-2</v>
      </c>
      <c r="L19" s="11">
        <f t="shared" si="2"/>
        <v>4.6945875104787496E-2</v>
      </c>
      <c r="M19" s="10">
        <f t="shared" si="19"/>
        <v>4.394298249447217E-2</v>
      </c>
      <c r="N19" s="11">
        <f t="shared" si="19"/>
        <v>5.0031370802890163E-2</v>
      </c>
      <c r="O19" s="11">
        <f t="shared" si="19"/>
        <v>3.7212697589695656E-2</v>
      </c>
      <c r="P19" s="11">
        <f t="shared" si="19"/>
        <v>2.6743324348314699E-2</v>
      </c>
      <c r="Q19" s="11">
        <f t="shared" si="19"/>
        <v>3.0932185508714183E-2</v>
      </c>
      <c r="R19" s="11">
        <f t="shared" si="19"/>
        <v>5.5372791469328719E-2</v>
      </c>
      <c r="S19" s="11">
        <f t="shared" si="19"/>
        <v>8.3462189214514412E-2</v>
      </c>
      <c r="T19" s="11">
        <f t="shared" si="19"/>
        <v>5.3722009737717201E-2</v>
      </c>
      <c r="U19" s="12">
        <f t="shared" si="19"/>
        <v>2.7433351575326403E-2</v>
      </c>
      <c r="V19" s="11">
        <f t="shared" si="3"/>
        <v>4.6303944716944809E-2</v>
      </c>
      <c r="W19" s="10">
        <f t="shared" si="19"/>
        <v>4.9286821190869474E-2</v>
      </c>
      <c r="X19" s="11">
        <f t="shared" si="19"/>
        <v>4.7155053481646531E-2</v>
      </c>
      <c r="Y19" s="11">
        <f t="shared" si="19"/>
        <v>3.3807770584012277E-2</v>
      </c>
      <c r="Z19" s="11">
        <f t="shared" si="19"/>
        <v>2.326545736871824E-2</v>
      </c>
      <c r="AA19" s="11">
        <f t="shared" si="19"/>
        <v>2.6673013336506669E-2</v>
      </c>
      <c r="AB19" s="11">
        <f t="shared" si="19"/>
        <v>5.1606814682362293E-2</v>
      </c>
      <c r="AC19" s="11">
        <f t="shared" si="19"/>
        <v>7.0639590431828395E-2</v>
      </c>
      <c r="AD19" s="11">
        <f t="shared" si="19"/>
        <v>4.2181327089444581E-2</v>
      </c>
      <c r="AE19" s="12">
        <f t="shared" si="19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ref="C20:AE20" si="20">C47/SUM(C$30:C$48)</f>
        <v>3.1363708590496461E-2</v>
      </c>
      <c r="D20" s="11">
        <f t="shared" si="20"/>
        <v>3.7352230563465358E-2</v>
      </c>
      <c r="E20" s="11">
        <f t="shared" si="20"/>
        <v>2.5864472950362521E-2</v>
      </c>
      <c r="F20" s="11">
        <f t="shared" si="20"/>
        <v>2.3088815270547406E-2</v>
      </c>
      <c r="G20" s="11">
        <f t="shared" si="20"/>
        <v>2.7668283808368707E-2</v>
      </c>
      <c r="H20" s="11">
        <f t="shared" si="20"/>
        <v>5.2290982407076192E-2</v>
      </c>
      <c r="I20" s="11">
        <f t="shared" si="20"/>
        <v>3.6277734508261619E-2</v>
      </c>
      <c r="J20" s="11">
        <f t="shared" si="20"/>
        <v>4.9025607433137101E-2</v>
      </c>
      <c r="K20" s="12">
        <f t="shared" si="20"/>
        <v>2.486595852301467E-2</v>
      </c>
      <c r="L20" s="11">
        <f t="shared" si="2"/>
        <v>3.1178586603277408E-2</v>
      </c>
      <c r="M20" s="10">
        <f t="shared" si="20"/>
        <v>2.7320159760883055E-2</v>
      </c>
      <c r="N20" s="11">
        <f t="shared" si="20"/>
        <v>3.7339126250053409E-2</v>
      </c>
      <c r="O20" s="11">
        <f t="shared" si="20"/>
        <v>2.5527531228893636E-2</v>
      </c>
      <c r="P20" s="11">
        <f t="shared" si="20"/>
        <v>1.9609599583051703E-2</v>
      </c>
      <c r="Q20" s="11">
        <f t="shared" si="20"/>
        <v>2.7303034139342534E-2</v>
      </c>
      <c r="R20" s="11">
        <f t="shared" si="20"/>
        <v>2.9508522163296559E-2</v>
      </c>
      <c r="S20" s="11">
        <f t="shared" si="20"/>
        <v>4.5163020624666823E-2</v>
      </c>
      <c r="T20" s="11">
        <f t="shared" si="20"/>
        <v>5.2280646003336699E-2</v>
      </c>
      <c r="U20" s="12">
        <f t="shared" si="20"/>
        <v>2.0905324055976858E-2</v>
      </c>
      <c r="V20" s="11">
        <f t="shared" si="3"/>
        <v>3.1258582717292212E-2</v>
      </c>
      <c r="W20" s="10">
        <f t="shared" si="20"/>
        <v>3.2126873578301594E-2</v>
      </c>
      <c r="X20" s="11">
        <f t="shared" si="20"/>
        <v>3.7515080496660642E-2</v>
      </c>
      <c r="Y20" s="11">
        <f t="shared" si="20"/>
        <v>2.0570839562929349E-2</v>
      </c>
      <c r="Z20" s="11">
        <f t="shared" si="20"/>
        <v>1.8192405420666292E-2</v>
      </c>
      <c r="AA20" s="11">
        <f t="shared" si="20"/>
        <v>2.3528011764005881E-2</v>
      </c>
      <c r="AB20" s="11">
        <f t="shared" si="20"/>
        <v>3.1611213998339611E-2</v>
      </c>
      <c r="AC20" s="11">
        <f t="shared" si="20"/>
        <v>4.3919883065606846E-2</v>
      </c>
      <c r="AD20" s="11">
        <f t="shared" si="20"/>
        <v>4.3974691203746336E-2</v>
      </c>
      <c r="AE20" s="12">
        <f t="shared" si="20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ref="C21:AE21" si="21">C48/SUM(C$30:C$48)</f>
        <v>1.7150813529057386E-2</v>
      </c>
      <c r="D21" s="11">
        <f t="shared" si="21"/>
        <v>1.302528259556476E-2</v>
      </c>
      <c r="E21" s="11">
        <f t="shared" si="21"/>
        <v>1.0565195887571162E-2</v>
      </c>
      <c r="F21" s="11">
        <f t="shared" si="21"/>
        <v>7.0484303517905035E-3</v>
      </c>
      <c r="G21" s="11">
        <f t="shared" si="21"/>
        <v>1.0663028097837073E-2</v>
      </c>
      <c r="H21" s="11">
        <f t="shared" si="21"/>
        <v>1.1414262950798348E-2</v>
      </c>
      <c r="I21" s="11">
        <f t="shared" si="21"/>
        <v>9.0308129018969209E-3</v>
      </c>
      <c r="J21" s="11">
        <f t="shared" si="21"/>
        <v>1.6824540384930316E-2</v>
      </c>
      <c r="K21" s="12">
        <f t="shared" si="21"/>
        <v>9.1654021244309564E-3</v>
      </c>
      <c r="L21" s="11">
        <f t="shared" si="2"/>
        <v>1.2954533709994144E-2</v>
      </c>
      <c r="M21" s="10">
        <f t="shared" si="21"/>
        <v>1.5531614451393163E-2</v>
      </c>
      <c r="N21" s="11">
        <f t="shared" si="21"/>
        <v>1.5728128703497563E-2</v>
      </c>
      <c r="O21" s="11">
        <f t="shared" si="21"/>
        <v>7.6409308291092177E-3</v>
      </c>
      <c r="P21" s="11">
        <f t="shared" si="21"/>
        <v>6.5799653085987439E-3</v>
      </c>
      <c r="Q21" s="11">
        <f t="shared" si="21"/>
        <v>8.8196818162636619E-3</v>
      </c>
      <c r="R21" s="11">
        <f t="shared" si="21"/>
        <v>8.5363432687671926E-3</v>
      </c>
      <c r="S21" s="11">
        <f t="shared" si="21"/>
        <v>1.9171106262230272E-2</v>
      </c>
      <c r="T21" s="11">
        <f t="shared" si="21"/>
        <v>1.9503807697109327E-2</v>
      </c>
      <c r="U21" s="12">
        <f t="shared" si="21"/>
        <v>1.2852787115940897E-2</v>
      </c>
      <c r="V21" s="11">
        <f t="shared" si="3"/>
        <v>1.3280172265252566E-2</v>
      </c>
      <c r="W21" s="10">
        <f t="shared" si="21"/>
        <v>1.5609003898421485E-2</v>
      </c>
      <c r="X21" s="11">
        <f t="shared" si="21"/>
        <v>1.2179846106778575E-2</v>
      </c>
      <c r="Y21" s="11">
        <f t="shared" si="21"/>
        <v>4.3865137753657073E-3</v>
      </c>
      <c r="Z21" s="11">
        <f t="shared" si="21"/>
        <v>5.717108977978543E-3</v>
      </c>
      <c r="AA21" s="11">
        <f t="shared" si="21"/>
        <v>7.5820037910018954E-3</v>
      </c>
      <c r="AB21" s="11">
        <f t="shared" si="21"/>
        <v>1.3900419354152031E-2</v>
      </c>
      <c r="AC21" s="11">
        <f t="shared" si="21"/>
        <v>1.7761024019694215E-2</v>
      </c>
      <c r="AD21" s="11">
        <f t="shared" si="21"/>
        <v>1.0589179305718156E-2</v>
      </c>
      <c r="AE21" s="12">
        <f t="shared" si="21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22">SUM(D3:D21)</f>
        <v>1</v>
      </c>
      <c r="E22" s="14">
        <f t="shared" si="22"/>
        <v>1</v>
      </c>
      <c r="F22" s="14">
        <f t="shared" si="22"/>
        <v>1.0000000000000002</v>
      </c>
      <c r="G22" s="14">
        <f t="shared" si="22"/>
        <v>0.99999999999999978</v>
      </c>
      <c r="H22" s="14">
        <f t="shared" si="22"/>
        <v>0.99999999999999978</v>
      </c>
      <c r="I22" s="14">
        <f t="shared" si="22"/>
        <v>1.0000000000000002</v>
      </c>
      <c r="J22" s="14">
        <f t="shared" si="22"/>
        <v>1.0000000000000002</v>
      </c>
      <c r="K22" s="15">
        <f t="shared" si="22"/>
        <v>1</v>
      </c>
      <c r="L22" s="15">
        <f t="shared" si="22"/>
        <v>1.0000000000000002</v>
      </c>
      <c r="M22" s="13">
        <f>SUM(M3:M21)</f>
        <v>1</v>
      </c>
      <c r="N22" s="14">
        <f t="shared" ref="N22:U22" si="23">SUM(N3:N21)</f>
        <v>1</v>
      </c>
      <c r="O22" s="14">
        <f t="shared" si="23"/>
        <v>1</v>
      </c>
      <c r="P22" s="14">
        <f t="shared" si="23"/>
        <v>1</v>
      </c>
      <c r="Q22" s="14">
        <f t="shared" si="23"/>
        <v>1.0000000000000002</v>
      </c>
      <c r="R22" s="14">
        <f t="shared" si="23"/>
        <v>1</v>
      </c>
      <c r="S22" s="14">
        <f t="shared" si="23"/>
        <v>0.99999999999999989</v>
      </c>
      <c r="T22" s="14">
        <f t="shared" si="23"/>
        <v>1</v>
      </c>
      <c r="U22" s="15">
        <f t="shared" si="23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24">SUM(X3:X21)</f>
        <v>1</v>
      </c>
      <c r="Y22" s="14">
        <f t="shared" si="24"/>
        <v>1.0000000000000002</v>
      </c>
      <c r="Z22" s="14">
        <f t="shared" si="24"/>
        <v>0.99999999999999989</v>
      </c>
      <c r="AA22" s="14">
        <f t="shared" si="24"/>
        <v>0.99999999999999989</v>
      </c>
      <c r="AB22" s="14">
        <f t="shared" si="24"/>
        <v>0.99999999999999989</v>
      </c>
      <c r="AC22" s="14">
        <f t="shared" si="24"/>
        <v>1</v>
      </c>
      <c r="AD22" s="14">
        <f t="shared" si="24"/>
        <v>0.99999999999999989</v>
      </c>
      <c r="AE22" s="15">
        <f t="shared" si="24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25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26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27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25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26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27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25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26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27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25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26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27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25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26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27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25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26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27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25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26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27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25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26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27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25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26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27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25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26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27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25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26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27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25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26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27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25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26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27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25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26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27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25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26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27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25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26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27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25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26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27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25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26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27"/>
        <v>32747</v>
      </c>
    </row>
    <row r="49" spans="2:31" x14ac:dyDescent="0.2">
      <c r="C49" s="6">
        <f>SUM(C30:C48)</f>
        <v>874769</v>
      </c>
      <c r="D49" s="6">
        <f t="shared" ref="D49:K49" si="28">SUM(D30:D48)</f>
        <v>463560</v>
      </c>
      <c r="E49" s="6">
        <f t="shared" si="28"/>
        <v>760232</v>
      </c>
      <c r="F49" s="6">
        <f t="shared" si="28"/>
        <v>158475</v>
      </c>
      <c r="G49" s="6">
        <f t="shared" si="28"/>
        <v>79152</v>
      </c>
      <c r="H49" s="6">
        <f t="shared" si="28"/>
        <v>30751</v>
      </c>
      <c r="I49" s="6">
        <f t="shared" si="28"/>
        <v>155357</v>
      </c>
      <c r="J49" s="6">
        <f t="shared" si="28"/>
        <v>116021</v>
      </c>
      <c r="K49" s="6">
        <f t="shared" si="28"/>
        <v>148275</v>
      </c>
      <c r="L49" s="6">
        <f t="shared" si="25"/>
        <v>2786592</v>
      </c>
      <c r="M49" s="6">
        <f>SUM(M30:M48)</f>
        <v>800947</v>
      </c>
      <c r="N49" s="6">
        <f t="shared" ref="N49:U49" si="29">SUM(N30:N48)</f>
        <v>444681</v>
      </c>
      <c r="O49" s="6">
        <f t="shared" si="29"/>
        <v>732895</v>
      </c>
      <c r="P49" s="6">
        <f t="shared" si="29"/>
        <v>122797</v>
      </c>
      <c r="Q49" s="6">
        <f t="shared" si="29"/>
        <v>94788</v>
      </c>
      <c r="R49" s="6">
        <f t="shared" si="29"/>
        <v>70522</v>
      </c>
      <c r="S49" s="6">
        <f t="shared" si="29"/>
        <v>302017</v>
      </c>
      <c r="T49" s="6">
        <f t="shared" si="29"/>
        <v>176222</v>
      </c>
      <c r="U49" s="6">
        <f t="shared" si="29"/>
        <v>127910</v>
      </c>
      <c r="W49" s="6">
        <f>SUM(W30:W48)</f>
        <v>783394</v>
      </c>
      <c r="X49" s="6">
        <f t="shared" ref="X49:AE49" si="30">SUM(X30:X48)</f>
        <v>346474</v>
      </c>
      <c r="Y49" s="6">
        <f t="shared" si="30"/>
        <v>607316</v>
      </c>
      <c r="Z49" s="6">
        <f t="shared" si="30"/>
        <v>113344</v>
      </c>
      <c r="AA49" s="6">
        <f t="shared" si="30"/>
        <v>117647</v>
      </c>
      <c r="AB49" s="6">
        <f t="shared" si="30"/>
        <v>140931</v>
      </c>
      <c r="AC49" s="6">
        <f t="shared" si="30"/>
        <v>402961</v>
      </c>
      <c r="AD49" s="6">
        <f t="shared" si="30"/>
        <v>228063</v>
      </c>
      <c r="AE49" s="6">
        <f t="shared" si="30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A39" zoomScale="150" workbookViewId="0">
      <selection activeCell="B16" sqref="B16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2.2454233863127809E-2</v>
      </c>
      <c r="F34" s="64">
        <f ca="1">F31+RAND()*(F30-F31)</f>
        <v>-1.0421633243280128E-2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2025-06-02T12:26:23Z</dcterms:modified>
</cp:coreProperties>
</file>