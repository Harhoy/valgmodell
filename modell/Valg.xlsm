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EDFE3BC4-769A-5F4B-A128-58AA2D8545EF}" xr6:coauthVersionLast="36" xr6:coauthVersionMax="47" xr10:uidLastSave="{00000000-0000-0000-0000-000000000000}"/>
  <bookViews>
    <workbookView xWindow="8440" yWindow="1460" windowWidth="23340" windowHeight="15480" activeTab="7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AF4" i="2" l="1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3" i="2"/>
  <c r="AF22" i="2"/>
  <c r="V21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3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30" i="2"/>
  <c r="AE49" i="2"/>
  <c r="AD49" i="2"/>
  <c r="AC49" i="2"/>
  <c r="AB49" i="2"/>
  <c r="AA49" i="2"/>
  <c r="Z49" i="2"/>
  <c r="Y49" i="2"/>
  <c r="X49" i="2"/>
  <c r="W49" i="2"/>
  <c r="U49" i="2"/>
  <c r="T49" i="2"/>
  <c r="S49" i="2"/>
  <c r="R49" i="2"/>
  <c r="Q49" i="2"/>
  <c r="P49" i="2"/>
  <c r="O49" i="2"/>
  <c r="N49" i="2"/>
  <c r="M49" i="2"/>
  <c r="M50" i="2" l="1"/>
  <c r="W50" i="2"/>
  <c r="D9" i="12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E21" i="2"/>
  <c r="AD21" i="2"/>
  <c r="AC21" i="2"/>
  <c r="AB21" i="2"/>
  <c r="AA21" i="2"/>
  <c r="Z21" i="2"/>
  <c r="Y21" i="2"/>
  <c r="X21" i="2"/>
  <c r="W21" i="2"/>
  <c r="U21" i="2"/>
  <c r="T21" i="2"/>
  <c r="S21" i="2"/>
  <c r="R21" i="2"/>
  <c r="Q21" i="2"/>
  <c r="P21" i="2"/>
  <c r="O21" i="2"/>
  <c r="N21" i="2"/>
  <c r="M21" i="2"/>
  <c r="AE20" i="2"/>
  <c r="AD20" i="2"/>
  <c r="AC20" i="2"/>
  <c r="AB20" i="2"/>
  <c r="AA20" i="2"/>
  <c r="Z20" i="2"/>
  <c r="Y20" i="2"/>
  <c r="X20" i="2"/>
  <c r="W20" i="2"/>
  <c r="U20" i="2"/>
  <c r="T20" i="2"/>
  <c r="S20" i="2"/>
  <c r="R20" i="2"/>
  <c r="Q20" i="2"/>
  <c r="P20" i="2"/>
  <c r="O20" i="2"/>
  <c r="N20" i="2"/>
  <c r="M20" i="2"/>
  <c r="AE19" i="2"/>
  <c r="AD19" i="2"/>
  <c r="AC19" i="2"/>
  <c r="AB19" i="2"/>
  <c r="AA19" i="2"/>
  <c r="Z19" i="2"/>
  <c r="Y19" i="2"/>
  <c r="X19" i="2"/>
  <c r="W19" i="2"/>
  <c r="U19" i="2"/>
  <c r="T19" i="2"/>
  <c r="S19" i="2"/>
  <c r="R19" i="2"/>
  <c r="Q19" i="2"/>
  <c r="P19" i="2"/>
  <c r="O19" i="2"/>
  <c r="N19" i="2"/>
  <c r="M19" i="2"/>
  <c r="AE18" i="2"/>
  <c r="AD18" i="2"/>
  <c r="AC18" i="2"/>
  <c r="AB18" i="2"/>
  <c r="AA18" i="2"/>
  <c r="Z18" i="2"/>
  <c r="Y18" i="2"/>
  <c r="X18" i="2"/>
  <c r="W18" i="2"/>
  <c r="U18" i="2"/>
  <c r="T18" i="2"/>
  <c r="S18" i="2"/>
  <c r="R18" i="2"/>
  <c r="Q18" i="2"/>
  <c r="P18" i="2"/>
  <c r="O18" i="2"/>
  <c r="N18" i="2"/>
  <c r="M18" i="2"/>
  <c r="AE17" i="2"/>
  <c r="AD17" i="2"/>
  <c r="AC17" i="2"/>
  <c r="AB17" i="2"/>
  <c r="AA17" i="2"/>
  <c r="Z17" i="2"/>
  <c r="Y17" i="2"/>
  <c r="X17" i="2"/>
  <c r="W17" i="2"/>
  <c r="U17" i="2"/>
  <c r="T17" i="2"/>
  <c r="S17" i="2"/>
  <c r="R17" i="2"/>
  <c r="Q17" i="2"/>
  <c r="P17" i="2"/>
  <c r="O17" i="2"/>
  <c r="N17" i="2"/>
  <c r="M17" i="2"/>
  <c r="AE16" i="2"/>
  <c r="AD16" i="2"/>
  <c r="AC16" i="2"/>
  <c r="AB16" i="2"/>
  <c r="AA16" i="2"/>
  <c r="Z16" i="2"/>
  <c r="Y16" i="2"/>
  <c r="X16" i="2"/>
  <c r="W16" i="2"/>
  <c r="U16" i="2"/>
  <c r="T16" i="2"/>
  <c r="S16" i="2"/>
  <c r="R16" i="2"/>
  <c r="Q16" i="2"/>
  <c r="P16" i="2"/>
  <c r="O16" i="2"/>
  <c r="N16" i="2"/>
  <c r="M16" i="2"/>
  <c r="AE15" i="2"/>
  <c r="AD15" i="2"/>
  <c r="AC15" i="2"/>
  <c r="AB15" i="2"/>
  <c r="AA15" i="2"/>
  <c r="Z15" i="2"/>
  <c r="Y15" i="2"/>
  <c r="X15" i="2"/>
  <c r="W15" i="2"/>
  <c r="U15" i="2"/>
  <c r="T15" i="2"/>
  <c r="S15" i="2"/>
  <c r="R15" i="2"/>
  <c r="Q15" i="2"/>
  <c r="P15" i="2"/>
  <c r="O15" i="2"/>
  <c r="N15" i="2"/>
  <c r="M15" i="2"/>
  <c r="AE14" i="2"/>
  <c r="AD14" i="2"/>
  <c r="AC14" i="2"/>
  <c r="AB14" i="2"/>
  <c r="AA14" i="2"/>
  <c r="Z14" i="2"/>
  <c r="Y14" i="2"/>
  <c r="X14" i="2"/>
  <c r="W14" i="2"/>
  <c r="U14" i="2"/>
  <c r="T14" i="2"/>
  <c r="S14" i="2"/>
  <c r="R14" i="2"/>
  <c r="Q14" i="2"/>
  <c r="P14" i="2"/>
  <c r="O14" i="2"/>
  <c r="N14" i="2"/>
  <c r="M14" i="2"/>
  <c r="AE13" i="2"/>
  <c r="AD13" i="2"/>
  <c r="AC13" i="2"/>
  <c r="AB13" i="2"/>
  <c r="AA13" i="2"/>
  <c r="Z13" i="2"/>
  <c r="Y13" i="2"/>
  <c r="X13" i="2"/>
  <c r="W13" i="2"/>
  <c r="U13" i="2"/>
  <c r="T13" i="2"/>
  <c r="S13" i="2"/>
  <c r="R13" i="2"/>
  <c r="Q13" i="2"/>
  <c r="P13" i="2"/>
  <c r="O13" i="2"/>
  <c r="N13" i="2"/>
  <c r="M13" i="2"/>
  <c r="AE12" i="2"/>
  <c r="AD12" i="2"/>
  <c r="AC12" i="2"/>
  <c r="AB12" i="2"/>
  <c r="AA12" i="2"/>
  <c r="Z12" i="2"/>
  <c r="Y12" i="2"/>
  <c r="X12" i="2"/>
  <c r="W12" i="2"/>
  <c r="U12" i="2"/>
  <c r="T12" i="2"/>
  <c r="S12" i="2"/>
  <c r="R12" i="2"/>
  <c r="Q12" i="2"/>
  <c r="P12" i="2"/>
  <c r="O12" i="2"/>
  <c r="N12" i="2"/>
  <c r="M12" i="2"/>
  <c r="AE11" i="2"/>
  <c r="AD11" i="2"/>
  <c r="AC11" i="2"/>
  <c r="AB11" i="2"/>
  <c r="AA11" i="2"/>
  <c r="Z11" i="2"/>
  <c r="Y11" i="2"/>
  <c r="X11" i="2"/>
  <c r="W11" i="2"/>
  <c r="U11" i="2"/>
  <c r="T11" i="2"/>
  <c r="S11" i="2"/>
  <c r="R11" i="2"/>
  <c r="Q11" i="2"/>
  <c r="P11" i="2"/>
  <c r="O11" i="2"/>
  <c r="N11" i="2"/>
  <c r="M11" i="2"/>
  <c r="AE10" i="2"/>
  <c r="AD10" i="2"/>
  <c r="AC10" i="2"/>
  <c r="AB10" i="2"/>
  <c r="AA10" i="2"/>
  <c r="Z10" i="2"/>
  <c r="Y10" i="2"/>
  <c r="X10" i="2"/>
  <c r="W10" i="2"/>
  <c r="U10" i="2"/>
  <c r="T10" i="2"/>
  <c r="S10" i="2"/>
  <c r="R10" i="2"/>
  <c r="Q10" i="2"/>
  <c r="P10" i="2"/>
  <c r="O10" i="2"/>
  <c r="N10" i="2"/>
  <c r="M10" i="2"/>
  <c r="AE9" i="2"/>
  <c r="AD9" i="2"/>
  <c r="AC9" i="2"/>
  <c r="AB9" i="2"/>
  <c r="AA9" i="2"/>
  <c r="Z9" i="2"/>
  <c r="Y9" i="2"/>
  <c r="X9" i="2"/>
  <c r="W9" i="2"/>
  <c r="U9" i="2"/>
  <c r="T9" i="2"/>
  <c r="S9" i="2"/>
  <c r="R9" i="2"/>
  <c r="Q9" i="2"/>
  <c r="P9" i="2"/>
  <c r="O9" i="2"/>
  <c r="N9" i="2"/>
  <c r="M9" i="2"/>
  <c r="AE8" i="2"/>
  <c r="AD8" i="2"/>
  <c r="AC8" i="2"/>
  <c r="AB8" i="2"/>
  <c r="AA8" i="2"/>
  <c r="Z8" i="2"/>
  <c r="Y8" i="2"/>
  <c r="X8" i="2"/>
  <c r="W8" i="2"/>
  <c r="U8" i="2"/>
  <c r="T8" i="2"/>
  <c r="S8" i="2"/>
  <c r="R8" i="2"/>
  <c r="Q8" i="2"/>
  <c r="P8" i="2"/>
  <c r="O8" i="2"/>
  <c r="N8" i="2"/>
  <c r="M8" i="2"/>
  <c r="AE7" i="2"/>
  <c r="AD7" i="2"/>
  <c r="AC7" i="2"/>
  <c r="AB7" i="2"/>
  <c r="AA7" i="2"/>
  <c r="Z7" i="2"/>
  <c r="Y7" i="2"/>
  <c r="X7" i="2"/>
  <c r="W7" i="2"/>
  <c r="U7" i="2"/>
  <c r="T7" i="2"/>
  <c r="S7" i="2"/>
  <c r="R7" i="2"/>
  <c r="Q7" i="2"/>
  <c r="P7" i="2"/>
  <c r="O7" i="2"/>
  <c r="N7" i="2"/>
  <c r="M7" i="2"/>
  <c r="AE6" i="2"/>
  <c r="AD6" i="2"/>
  <c r="AC6" i="2"/>
  <c r="AB6" i="2"/>
  <c r="AA6" i="2"/>
  <c r="Z6" i="2"/>
  <c r="Y6" i="2"/>
  <c r="X6" i="2"/>
  <c r="W6" i="2"/>
  <c r="U6" i="2"/>
  <c r="T6" i="2"/>
  <c r="S6" i="2"/>
  <c r="R6" i="2"/>
  <c r="Q6" i="2"/>
  <c r="P6" i="2"/>
  <c r="O6" i="2"/>
  <c r="N6" i="2"/>
  <c r="M6" i="2"/>
  <c r="AE5" i="2"/>
  <c r="AD5" i="2"/>
  <c r="AC5" i="2"/>
  <c r="AB5" i="2"/>
  <c r="AA5" i="2"/>
  <c r="Z5" i="2"/>
  <c r="Y5" i="2"/>
  <c r="X5" i="2"/>
  <c r="W5" i="2"/>
  <c r="U5" i="2"/>
  <c r="T5" i="2"/>
  <c r="S5" i="2"/>
  <c r="R5" i="2"/>
  <c r="Q5" i="2"/>
  <c r="P5" i="2"/>
  <c r="O5" i="2"/>
  <c r="N5" i="2"/>
  <c r="M5" i="2"/>
  <c r="AE4" i="2"/>
  <c r="AD4" i="2"/>
  <c r="AC4" i="2"/>
  <c r="AB4" i="2"/>
  <c r="AA4" i="2"/>
  <c r="Z4" i="2"/>
  <c r="Y4" i="2"/>
  <c r="X4" i="2"/>
  <c r="W4" i="2"/>
  <c r="U4" i="2"/>
  <c r="T4" i="2"/>
  <c r="S4" i="2"/>
  <c r="R4" i="2"/>
  <c r="Q4" i="2"/>
  <c r="P4" i="2"/>
  <c r="O4" i="2"/>
  <c r="N4" i="2"/>
  <c r="M4" i="2"/>
  <c r="AE3" i="2"/>
  <c r="AD3" i="2"/>
  <c r="AC3" i="2"/>
  <c r="AB3" i="2"/>
  <c r="AA3" i="2"/>
  <c r="Z3" i="2"/>
  <c r="Y3" i="2"/>
  <c r="X3" i="2"/>
  <c r="W3" i="2"/>
  <c r="U3" i="2"/>
  <c r="T3" i="2"/>
  <c r="S3" i="2"/>
  <c r="R3" i="2"/>
  <c r="Q3" i="2"/>
  <c r="P3" i="2"/>
  <c r="O3" i="2"/>
  <c r="N3" i="2"/>
  <c r="M3" i="2"/>
  <c r="C22" i="2" l="1"/>
  <c r="L49" i="2"/>
  <c r="C50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M22" i="2"/>
  <c r="AD22" i="2"/>
  <c r="U22" i="2"/>
  <c r="W22" i="2"/>
  <c r="P22" i="2"/>
  <c r="X22" i="2"/>
  <c r="Y22" i="2"/>
  <c r="AE22" i="2"/>
  <c r="Z22" i="2"/>
  <c r="N22" i="2"/>
  <c r="O22" i="2"/>
  <c r="AA22" i="2"/>
  <c r="AB22" i="2"/>
  <c r="AC22" i="2"/>
  <c r="Q22" i="2"/>
  <c r="S22" i="2"/>
  <c r="R22" i="2"/>
  <c r="T22" i="2"/>
  <c r="L7" i="2" l="1"/>
  <c r="L15" i="2"/>
  <c r="L19" i="2"/>
  <c r="L11" i="2"/>
  <c r="L10" i="2"/>
  <c r="L5" i="2"/>
  <c r="L20" i="2"/>
  <c r="L4" i="2"/>
  <c r="L14" i="2"/>
  <c r="L13" i="2"/>
  <c r="L8" i="2"/>
  <c r="L21" i="2"/>
  <c r="L16" i="2"/>
  <c r="L3" i="2"/>
  <c r="L18" i="2"/>
  <c r="L9" i="2"/>
  <c r="L17" i="2"/>
  <c r="L12" i="2"/>
  <c r="L6" i="2"/>
  <c r="T12" i="5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V22" i="2" l="1"/>
  <c r="L22" i="2"/>
  <c r="I3" i="5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<sst xmlns="http://schemas.openxmlformats.org/spreadsheetml/2006/main" count="584" uniqueCount="133">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</sst>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  <font>
      <sz val="16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0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6" fillId="2" borderId="3" xfId="2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17" fillId="0" borderId="0" xfId="0" applyFont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89</c:v>
                </c:pt>
                <c:pt idx="1">
                  <c:v>80</c:v>
                </c:pt>
                <c:pt idx="2">
                  <c:v>79</c:v>
                </c:pt>
                <c:pt idx="3">
                  <c:v>88</c:v>
                </c:pt>
                <c:pt idx="4">
                  <c:v>75</c:v>
                </c:pt>
                <c:pt idx="5">
                  <c:v>40</c:v>
                </c:pt>
                <c:pt idx="6">
                  <c:v>78</c:v>
                </c:pt>
                <c:pt idx="7">
                  <c:v>77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52</c:v>
                </c:pt>
                <c:pt idx="1">
                  <c:v>40</c:v>
                </c:pt>
                <c:pt idx="2">
                  <c:v>32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4" t="s">
        <v>75</v>
      </c>
      <c r="G2" s="94"/>
      <c r="H2" s="94"/>
      <c r="I2" s="94"/>
      <c r="J2" s="94"/>
      <c r="K2" s="94"/>
      <c r="L2" s="94"/>
      <c r="M2" s="94"/>
      <c r="N2" s="94"/>
      <c r="O2" s="94"/>
    </row>
    <row r="3" spans="2:15" x14ac:dyDescent="0.2">
      <c r="B3" s="1" t="s">
        <v>55</v>
      </c>
      <c r="C3" s="67">
        <v>2013</v>
      </c>
      <c r="E3" s="75" t="s">
        <v>54</v>
      </c>
      <c r="F3" s="75">
        <v>1</v>
      </c>
      <c r="G3" s="75">
        <v>2</v>
      </c>
      <c r="H3" s="75">
        <v>3</v>
      </c>
      <c r="I3" s="75">
        <v>4</v>
      </c>
      <c r="J3" s="75">
        <v>5</v>
      </c>
      <c r="K3" s="75">
        <v>6</v>
      </c>
      <c r="L3" s="75">
        <v>7</v>
      </c>
      <c r="M3" s="75">
        <v>8</v>
      </c>
      <c r="N3" s="75">
        <v>9</v>
      </c>
      <c r="O3" s="75">
        <v>10</v>
      </c>
    </row>
    <row r="4" spans="2:15" x14ac:dyDescent="0.2">
      <c r="B4" s="1" t="s">
        <v>58</v>
      </c>
      <c r="C4" s="73">
        <v>0.04</v>
      </c>
      <c r="E4" s="35" t="s">
        <v>25</v>
      </c>
      <c r="F4" s="76">
        <v>1</v>
      </c>
      <c r="G4" s="76">
        <v>1</v>
      </c>
      <c r="H4" s="76">
        <v>1</v>
      </c>
      <c r="I4" s="76">
        <v>1</v>
      </c>
      <c r="J4" s="76">
        <v>1</v>
      </c>
      <c r="K4" s="76"/>
      <c r="L4" s="76"/>
      <c r="M4" s="76"/>
      <c r="N4" s="76"/>
      <c r="O4" s="76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6"/>
      <c r="G5" s="76"/>
      <c r="H5" s="76"/>
      <c r="I5" s="76"/>
      <c r="J5" s="76"/>
      <c r="K5" s="76">
        <v>1</v>
      </c>
      <c r="L5" s="76">
        <v>1</v>
      </c>
      <c r="M5" s="76">
        <v>1</v>
      </c>
      <c r="N5" s="76"/>
      <c r="O5" s="76"/>
    </row>
    <row r="6" spans="2:15" x14ac:dyDescent="0.2">
      <c r="B6" s="21"/>
      <c r="C6" s="68"/>
      <c r="E6" s="35" t="s">
        <v>27</v>
      </c>
      <c r="F6" s="76"/>
      <c r="G6" s="76"/>
      <c r="H6" s="76"/>
      <c r="I6" s="76"/>
      <c r="J6" s="76"/>
      <c r="K6" s="76">
        <v>1</v>
      </c>
      <c r="L6" s="76">
        <v>1</v>
      </c>
      <c r="M6" s="76">
        <v>1</v>
      </c>
      <c r="N6" s="76"/>
      <c r="O6" s="76"/>
    </row>
    <row r="7" spans="2:15" x14ac:dyDescent="0.2">
      <c r="B7" s="1" t="s">
        <v>83</v>
      </c>
      <c r="C7" s="69">
        <f ca="1">TODAY()</f>
        <v>45805</v>
      </c>
      <c r="E7" s="35" t="s">
        <v>28</v>
      </c>
      <c r="F7" s="76"/>
      <c r="G7" s="76"/>
      <c r="H7" s="76"/>
      <c r="I7" s="76"/>
      <c r="J7" s="76"/>
      <c r="K7" s="76"/>
      <c r="L7" s="76"/>
      <c r="M7" s="76">
        <v>1</v>
      </c>
      <c r="N7" s="76"/>
      <c r="O7" s="76"/>
    </row>
    <row r="8" spans="2:15" x14ac:dyDescent="0.2">
      <c r="B8" s="1" t="s">
        <v>88</v>
      </c>
      <c r="C8" s="67">
        <v>15</v>
      </c>
      <c r="E8" s="35" t="s">
        <v>29</v>
      </c>
      <c r="F8" s="76"/>
      <c r="G8" s="76"/>
      <c r="H8" s="76"/>
      <c r="I8" s="76"/>
      <c r="J8" s="76">
        <v>1</v>
      </c>
      <c r="K8" s="76"/>
      <c r="L8" s="76"/>
      <c r="M8" s="76"/>
      <c r="N8" s="76"/>
      <c r="O8" s="76"/>
    </row>
    <row r="9" spans="2:15" x14ac:dyDescent="0.2">
      <c r="B9" s="1" t="s">
        <v>89</v>
      </c>
      <c r="C9" s="70">
        <v>30</v>
      </c>
      <c r="E9" s="35" t="s">
        <v>30</v>
      </c>
      <c r="F9" s="76"/>
      <c r="G9" s="76">
        <v>1</v>
      </c>
      <c r="H9" s="76">
        <v>1</v>
      </c>
      <c r="I9" s="76">
        <v>1</v>
      </c>
      <c r="J9" s="76">
        <v>1</v>
      </c>
      <c r="K9" s="76"/>
      <c r="L9" s="76"/>
      <c r="M9" s="76"/>
      <c r="N9" s="76"/>
      <c r="O9" s="76"/>
    </row>
    <row r="10" spans="2:15" x14ac:dyDescent="0.2">
      <c r="C10" s="42"/>
      <c r="E10" s="35" t="s">
        <v>31</v>
      </c>
      <c r="F10" s="76"/>
      <c r="G10" s="76"/>
      <c r="H10" s="76">
        <v>1</v>
      </c>
      <c r="I10" s="76">
        <v>1</v>
      </c>
      <c r="J10" s="76">
        <v>1</v>
      </c>
      <c r="K10" s="76"/>
      <c r="L10" s="76"/>
      <c r="M10" s="76"/>
      <c r="N10" s="76"/>
      <c r="O10" s="76"/>
    </row>
    <row r="11" spans="2:15" x14ac:dyDescent="0.2">
      <c r="B11" s="1" t="s">
        <v>97</v>
      </c>
      <c r="C11" s="71">
        <v>0.65</v>
      </c>
      <c r="E11" s="35" t="s">
        <v>32</v>
      </c>
      <c r="F11" s="76"/>
      <c r="G11" s="76"/>
      <c r="H11" s="76"/>
      <c r="I11" s="76">
        <v>1</v>
      </c>
      <c r="J11" s="76">
        <v>1</v>
      </c>
      <c r="K11" s="76"/>
      <c r="L11" s="76"/>
      <c r="M11" s="76"/>
      <c r="N11" s="76"/>
      <c r="O11" s="76"/>
    </row>
    <row r="12" spans="2:15" ht="16" thickBot="1" x14ac:dyDescent="0.25">
      <c r="C12" s="42"/>
      <c r="E12" s="35" t="s">
        <v>33</v>
      </c>
      <c r="F12" s="77"/>
      <c r="G12" s="77"/>
      <c r="H12" s="77"/>
      <c r="I12" s="77"/>
      <c r="J12" s="77"/>
      <c r="K12" s="77"/>
      <c r="L12" s="77">
        <v>1</v>
      </c>
      <c r="M12" s="77">
        <v>1</v>
      </c>
      <c r="N12" s="77"/>
      <c r="O12" s="77"/>
    </row>
    <row r="13" spans="2:15" ht="16" thickBot="1" x14ac:dyDescent="0.25">
      <c r="B13" s="1" t="s">
        <v>98</v>
      </c>
      <c r="C13" s="67">
        <v>60</v>
      </c>
      <c r="E13" s="78" t="s">
        <v>117</v>
      </c>
      <c r="F13" s="79">
        <v>85</v>
      </c>
      <c r="G13" s="79">
        <v>85</v>
      </c>
      <c r="H13" s="79">
        <v>85</v>
      </c>
      <c r="I13" s="79">
        <v>85</v>
      </c>
      <c r="J13" s="79">
        <v>85</v>
      </c>
      <c r="K13" s="79">
        <v>85</v>
      </c>
      <c r="L13" s="79">
        <v>85</v>
      </c>
      <c r="M13" s="79">
        <v>85</v>
      </c>
      <c r="N13" s="79">
        <v>85</v>
      </c>
      <c r="O13" s="80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V3" zoomScale="119" zoomScaleNormal="110" workbookViewId="0">
      <selection activeCell="AK3" sqref="AK3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5" t="s">
        <v>68</v>
      </c>
      <c r="C2" s="95"/>
      <c r="D2" s="95"/>
      <c r="E2" s="95"/>
      <c r="F2" s="95"/>
      <c r="G2" s="95"/>
      <c r="H2" s="95"/>
      <c r="I2" s="95"/>
      <c r="J2" s="95"/>
      <c r="M2" s="95" t="s">
        <v>77</v>
      </c>
      <c r="N2" s="95"/>
      <c r="O2" s="95"/>
      <c r="P2" s="95"/>
      <c r="Q2" s="95"/>
      <c r="R2" s="95"/>
      <c r="S2" s="95"/>
      <c r="T2" s="95"/>
      <c r="U2" s="95"/>
      <c r="X2" s="95" t="s">
        <v>69</v>
      </c>
      <c r="Y2" s="95"/>
      <c r="Z2" s="95"/>
      <c r="AA2" s="95"/>
      <c r="AB2" s="95"/>
      <c r="AC2" s="95"/>
      <c r="AD2" s="95"/>
      <c r="AE2" s="95"/>
      <c r="AF2" s="95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3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1</v>
      </c>
      <c r="U4" s="24">
        <v>0</v>
      </c>
      <c r="V4" s="31"/>
      <c r="W4" s="22" t="s">
        <v>35</v>
      </c>
      <c r="X4" s="24">
        <f>B4+M4</f>
        <v>3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0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89</v>
      </c>
      <c r="BB4" s="22" t="s">
        <v>35</v>
      </c>
      <c r="BC4" s="24">
        <f t="shared" ref="BC4:BC22" si="1">B4-BN4</f>
        <v>0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0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0</v>
      </c>
      <c r="CS4" s="24">
        <f t="shared" si="11"/>
        <v>0</v>
      </c>
      <c r="CT4" s="24">
        <f t="shared" si="11"/>
        <v>-1</v>
      </c>
      <c r="CU4" s="24">
        <f t="shared" si="11"/>
        <v>0</v>
      </c>
    </row>
    <row r="5" spans="1:99" x14ac:dyDescent="0.2">
      <c r="A5" s="22" t="s">
        <v>36</v>
      </c>
      <c r="B5" s="24">
        <v>6</v>
      </c>
      <c r="C5" s="24">
        <v>5</v>
      </c>
      <c r="D5" s="24">
        <v>5</v>
      </c>
      <c r="E5" s="24">
        <v>0</v>
      </c>
      <c r="F5" s="24">
        <v>0</v>
      </c>
      <c r="G5" s="24">
        <v>1</v>
      </c>
      <c r="H5" s="24">
        <v>0</v>
      </c>
      <c r="I5" s="24">
        <v>1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6</v>
      </c>
      <c r="Y5" s="24">
        <f t="shared" si="0"/>
        <v>5</v>
      </c>
      <c r="Z5" s="24">
        <f t="shared" si="0"/>
        <v>5</v>
      </c>
      <c r="AA5" s="24">
        <f t="shared" si="0"/>
        <v>0</v>
      </c>
      <c r="AB5" s="24">
        <f t="shared" si="0"/>
        <v>0</v>
      </c>
      <c r="AC5" s="24">
        <f t="shared" si="0"/>
        <v>1</v>
      </c>
      <c r="AD5" s="24">
        <f t="shared" si="0"/>
        <v>1</v>
      </c>
      <c r="AE5" s="24">
        <f t="shared" si="0"/>
        <v>1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80</v>
      </c>
      <c r="BB5" s="22" t="s">
        <v>36</v>
      </c>
      <c r="BC5" s="24">
        <f t="shared" si="1"/>
        <v>1</v>
      </c>
      <c r="BD5" s="24">
        <f t="shared" si="2"/>
        <v>2</v>
      </c>
      <c r="BE5" s="24">
        <f t="shared" si="3"/>
        <v>-2</v>
      </c>
      <c r="BF5" s="24">
        <f t="shared" si="4"/>
        <v>0</v>
      </c>
      <c r="BG5" s="24">
        <f t="shared" si="5"/>
        <v>0</v>
      </c>
      <c r="BH5" s="24">
        <f t="shared" si="6"/>
        <v>1</v>
      </c>
      <c r="BI5" s="24">
        <f t="shared" si="7"/>
        <v>0</v>
      </c>
      <c r="BJ5" s="24">
        <f t="shared" si="8"/>
        <v>1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5</v>
      </c>
      <c r="C6" s="24">
        <v>3</v>
      </c>
      <c r="D6" s="24">
        <v>4</v>
      </c>
      <c r="E6" s="24">
        <v>0</v>
      </c>
      <c r="F6" s="24">
        <v>1</v>
      </c>
      <c r="G6" s="24">
        <v>3</v>
      </c>
      <c r="H6" s="24">
        <v>0</v>
      </c>
      <c r="I6" s="24">
        <v>2</v>
      </c>
      <c r="J6" s="24">
        <v>1</v>
      </c>
      <c r="L6" s="22" t="s">
        <v>37</v>
      </c>
      <c r="M6" s="24">
        <v>1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31"/>
      <c r="W6" s="22" t="s">
        <v>37</v>
      </c>
      <c r="X6" s="24">
        <f t="shared" si="12"/>
        <v>6</v>
      </c>
      <c r="Y6" s="24">
        <f t="shared" si="0"/>
        <v>3</v>
      </c>
      <c r="Z6" s="24">
        <f t="shared" si="0"/>
        <v>4</v>
      </c>
      <c r="AA6" s="24">
        <f t="shared" si="0"/>
        <v>0</v>
      </c>
      <c r="AB6" s="24">
        <f t="shared" si="0"/>
        <v>1</v>
      </c>
      <c r="AC6" s="24">
        <f t="shared" si="0"/>
        <v>3</v>
      </c>
      <c r="AD6" s="24">
        <f t="shared" si="0"/>
        <v>0</v>
      </c>
      <c r="AE6" s="24">
        <f t="shared" si="0"/>
        <v>2</v>
      </c>
      <c r="AF6" s="24">
        <f t="shared" si="0"/>
        <v>1</v>
      </c>
      <c r="AG6" s="31"/>
      <c r="AH6" s="31"/>
      <c r="AI6" s="31"/>
      <c r="AJ6" s="31"/>
      <c r="AK6" s="31"/>
      <c r="AL6" s="21" t="s">
        <v>72</v>
      </c>
      <c r="AM6" s="23">
        <f>X23+AE23+AD23</f>
        <v>79</v>
      </c>
      <c r="BB6" s="22" t="s">
        <v>37</v>
      </c>
      <c r="BC6" s="24">
        <f t="shared" si="1"/>
        <v>-1</v>
      </c>
      <c r="BD6" s="24">
        <f t="shared" si="2"/>
        <v>1</v>
      </c>
      <c r="BE6" s="24">
        <f t="shared" si="3"/>
        <v>-2</v>
      </c>
      <c r="BF6" s="24">
        <f t="shared" si="4"/>
        <v>0</v>
      </c>
      <c r="BG6" s="24">
        <f t="shared" si="5"/>
        <v>0</v>
      </c>
      <c r="BH6" s="24">
        <f t="shared" si="6"/>
        <v>3</v>
      </c>
      <c r="BI6" s="24">
        <f t="shared" si="7"/>
        <v>0</v>
      </c>
      <c r="BJ6" s="24">
        <f t="shared" si="8"/>
        <v>1</v>
      </c>
      <c r="BK6" s="24">
        <f t="shared" si="9"/>
        <v>-1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-1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0</v>
      </c>
    </row>
    <row r="7" spans="1:99" x14ac:dyDescent="0.2">
      <c r="A7" s="22" t="s">
        <v>38</v>
      </c>
      <c r="B7" s="24">
        <v>3</v>
      </c>
      <c r="C7" s="24">
        <v>1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3</v>
      </c>
      <c r="Y7" s="24">
        <f t="shared" si="0"/>
        <v>1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88</v>
      </c>
      <c r="BB7" s="22" t="s">
        <v>38</v>
      </c>
      <c r="BC7" s="24">
        <f t="shared" si="1"/>
        <v>0</v>
      </c>
      <c r="BD7" s="24">
        <f t="shared" si="2"/>
        <v>0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2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1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3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0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75</v>
      </c>
      <c r="BB8" s="22" t="s">
        <v>39</v>
      </c>
      <c r="BC8" s="24">
        <f t="shared" si="1"/>
        <v>-1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-1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0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3</v>
      </c>
      <c r="C9" s="24">
        <v>2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1</v>
      </c>
      <c r="T9" s="24">
        <v>0</v>
      </c>
      <c r="U9" s="24">
        <v>0</v>
      </c>
      <c r="V9" s="31"/>
      <c r="W9" s="22" t="s">
        <v>40</v>
      </c>
      <c r="X9" s="24">
        <f t="shared" si="12"/>
        <v>3</v>
      </c>
      <c r="Y9" s="24">
        <f t="shared" si="0"/>
        <v>2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1</v>
      </c>
      <c r="AE9" s="24">
        <f t="shared" si="0"/>
        <v>0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40</v>
      </c>
      <c r="BB9" s="22" t="s">
        <v>40</v>
      </c>
      <c r="BC9" s="24">
        <f t="shared" si="1"/>
        <v>0</v>
      </c>
      <c r="BD9" s="24">
        <f t="shared" si="2"/>
        <v>0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0</v>
      </c>
      <c r="CT9" s="24">
        <f t="shared" si="21"/>
        <v>0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78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1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0</v>
      </c>
      <c r="AD11" s="24">
        <f t="shared" si="0"/>
        <v>0</v>
      </c>
      <c r="AE11" s="24">
        <f t="shared" si="0"/>
        <v>1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77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0</v>
      </c>
      <c r="CS11" s="24">
        <f t="shared" si="20"/>
        <v>0</v>
      </c>
      <c r="CT11" s="24">
        <f t="shared" si="21"/>
        <v>-1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1</v>
      </c>
      <c r="S12" s="24">
        <v>0</v>
      </c>
      <c r="T12" s="24">
        <v>0</v>
      </c>
      <c r="U12" s="24">
        <v>0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1</v>
      </c>
      <c r="AD12" s="24">
        <f t="shared" si="0"/>
        <v>0</v>
      </c>
      <c r="AE12" s="24">
        <f t="shared" si="0"/>
        <v>0</v>
      </c>
      <c r="AF12" s="24">
        <f t="shared" si="0"/>
        <v>0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80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-1</v>
      </c>
      <c r="CS12" s="24">
        <f t="shared" si="20"/>
        <v>0</v>
      </c>
      <c r="CT12" s="24">
        <f t="shared" si="21"/>
        <v>0</v>
      </c>
      <c r="CU12" s="24">
        <f t="shared" si="22"/>
        <v>0</v>
      </c>
    </row>
    <row r="13" spans="1:99" x14ac:dyDescent="0.2">
      <c r="A13" s="22" t="s">
        <v>44</v>
      </c>
      <c r="B13" s="24">
        <v>2</v>
      </c>
      <c r="C13" s="24">
        <v>2</v>
      </c>
      <c r="D13" s="24">
        <v>1</v>
      </c>
      <c r="E13" s="24">
        <v>0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1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2</v>
      </c>
      <c r="Y13" s="24">
        <f t="shared" si="0"/>
        <v>2</v>
      </c>
      <c r="Z13" s="24">
        <f t="shared" si="0"/>
        <v>1</v>
      </c>
      <c r="AA13" s="24">
        <f t="shared" si="0"/>
        <v>0</v>
      </c>
      <c r="AB13" s="24">
        <f t="shared" si="0"/>
        <v>0</v>
      </c>
      <c r="AC13" s="24">
        <f t="shared" si="0"/>
        <v>1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1</v>
      </c>
      <c r="BD13" s="24">
        <f t="shared" si="2"/>
        <v>1</v>
      </c>
      <c r="BE13" s="24">
        <f t="shared" si="3"/>
        <v>-1</v>
      </c>
      <c r="BF13" s="24">
        <f t="shared" si="4"/>
        <v>-1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-1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3</v>
      </c>
      <c r="C14" s="24">
        <v>4</v>
      </c>
      <c r="D14" s="24">
        <v>3</v>
      </c>
      <c r="E14" s="24">
        <v>1</v>
      </c>
      <c r="F14" s="24">
        <v>0</v>
      </c>
      <c r="G14" s="24">
        <v>0</v>
      </c>
      <c r="H14" s="24">
        <v>1</v>
      </c>
      <c r="I14" s="24">
        <v>1</v>
      </c>
      <c r="J14" s="24">
        <v>0</v>
      </c>
      <c r="L14" s="22" t="s">
        <v>45</v>
      </c>
      <c r="M14" s="24">
        <v>1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4</v>
      </c>
      <c r="Y14" s="24">
        <f t="shared" si="0"/>
        <v>4</v>
      </c>
      <c r="Z14" s="24">
        <f t="shared" si="0"/>
        <v>3</v>
      </c>
      <c r="AA14" s="24">
        <f t="shared" si="0"/>
        <v>1</v>
      </c>
      <c r="AB14" s="24">
        <f t="shared" si="0"/>
        <v>0</v>
      </c>
      <c r="AC14" s="24">
        <f t="shared" si="0"/>
        <v>0</v>
      </c>
      <c r="AD14" s="24">
        <f t="shared" si="0"/>
        <v>1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0</v>
      </c>
      <c r="BD14" s="24">
        <f t="shared" si="2"/>
        <v>1</v>
      </c>
      <c r="BE14" s="24">
        <f t="shared" si="3"/>
        <v>-1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0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-1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0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4</v>
      </c>
      <c r="C15" s="24">
        <v>3</v>
      </c>
      <c r="D15" s="24">
        <v>3</v>
      </c>
      <c r="E15" s="24">
        <v>1</v>
      </c>
      <c r="F15" s="24">
        <v>0</v>
      </c>
      <c r="G15" s="24">
        <v>1</v>
      </c>
      <c r="H15" s="24">
        <v>1</v>
      </c>
      <c r="I15" s="24">
        <v>1</v>
      </c>
      <c r="J15" s="24">
        <v>1</v>
      </c>
      <c r="L15" s="22" t="s">
        <v>46</v>
      </c>
      <c r="M15" s="24">
        <v>0</v>
      </c>
      <c r="N15" s="24">
        <v>0</v>
      </c>
      <c r="O15" s="24">
        <v>1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31"/>
      <c r="W15" s="22" t="s">
        <v>46</v>
      </c>
      <c r="X15" s="24">
        <f t="shared" si="12"/>
        <v>4</v>
      </c>
      <c r="Y15" s="24">
        <f t="shared" si="0"/>
        <v>3</v>
      </c>
      <c r="Z15" s="24">
        <f t="shared" si="0"/>
        <v>4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1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0</v>
      </c>
      <c r="BD15" s="24">
        <f t="shared" si="2"/>
        <v>1</v>
      </c>
      <c r="BE15" s="24">
        <f t="shared" si="3"/>
        <v>-2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0</v>
      </c>
      <c r="BJ15" s="24">
        <f t="shared" si="8"/>
        <v>0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0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0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0</v>
      </c>
      <c r="E16" s="24">
        <v>0</v>
      </c>
      <c r="F16" s="24">
        <v>0</v>
      </c>
      <c r="G16" s="24">
        <v>0</v>
      </c>
      <c r="H16" s="24">
        <v>1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1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-1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0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-1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0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2</v>
      </c>
      <c r="C17" s="24">
        <v>2</v>
      </c>
      <c r="D17" s="24">
        <v>2</v>
      </c>
      <c r="E17" s="24">
        <v>0</v>
      </c>
      <c r="F17" s="24">
        <v>0</v>
      </c>
      <c r="G17" s="24">
        <v>0</v>
      </c>
      <c r="H17" s="24">
        <v>1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2</v>
      </c>
      <c r="Y17" s="24">
        <f t="shared" si="0"/>
        <v>2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1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0</v>
      </c>
      <c r="BD17" s="24">
        <f t="shared" si="2"/>
        <v>0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0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4</v>
      </c>
      <c r="C18" s="24">
        <v>2</v>
      </c>
      <c r="D18" s="24">
        <v>2</v>
      </c>
      <c r="E18" s="24">
        <v>0</v>
      </c>
      <c r="F18" s="24">
        <v>0</v>
      </c>
      <c r="G18" s="24">
        <v>0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4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0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0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0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0</v>
      </c>
      <c r="E19" s="24">
        <v>0</v>
      </c>
      <c r="F19" s="24">
        <v>0</v>
      </c>
      <c r="G19" s="24">
        <v>0</v>
      </c>
      <c r="H19" s="24">
        <v>1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1</v>
      </c>
      <c r="S19" s="24">
        <v>0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0</v>
      </c>
      <c r="AA19" s="24">
        <f t="shared" si="0"/>
        <v>0</v>
      </c>
      <c r="AB19" s="24">
        <f t="shared" si="0"/>
        <v>0</v>
      </c>
      <c r="AC19" s="24">
        <f t="shared" si="0"/>
        <v>1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-1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0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-1</v>
      </c>
      <c r="CS19" s="24">
        <f t="shared" si="20"/>
        <v>0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3</v>
      </c>
      <c r="C20" s="24">
        <v>2</v>
      </c>
      <c r="D20" s="24">
        <v>1</v>
      </c>
      <c r="E20" s="24">
        <v>0</v>
      </c>
      <c r="F20" s="24">
        <v>0</v>
      </c>
      <c r="G20" s="24">
        <v>1</v>
      </c>
      <c r="H20" s="24">
        <v>0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1</v>
      </c>
      <c r="T20" s="24">
        <v>0</v>
      </c>
      <c r="U20" s="24">
        <v>0</v>
      </c>
      <c r="V20" s="31"/>
      <c r="W20" s="22" t="s">
        <v>51</v>
      </c>
      <c r="X20" s="24">
        <f t="shared" si="12"/>
        <v>3</v>
      </c>
      <c r="Y20" s="24">
        <f t="shared" ref="Y20:Y22" si="23">C20+N20</f>
        <v>2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-1</v>
      </c>
      <c r="BD20" s="24">
        <f t="shared" si="2"/>
        <v>0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1</v>
      </c>
      <c r="BI20" s="24">
        <f t="shared" si="7"/>
        <v>0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0</v>
      </c>
      <c r="CS20" s="24">
        <f t="shared" ref="CS20:CS22" si="36">CH20-S20</f>
        <v>0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2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1</v>
      </c>
      <c r="U21" s="24">
        <v>0</v>
      </c>
      <c r="V21" s="31"/>
      <c r="W21" s="22" t="s">
        <v>52</v>
      </c>
      <c r="X21" s="24">
        <f t="shared" si="12"/>
        <v>2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0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0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0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0</v>
      </c>
      <c r="CT21" s="24">
        <f t="shared" si="37"/>
        <v>0</v>
      </c>
      <c r="CU21" s="24">
        <f t="shared" si="38"/>
        <v>0</v>
      </c>
    </row>
    <row r="22" spans="1:99" x14ac:dyDescent="0.2">
      <c r="A22" s="22" t="s">
        <v>53</v>
      </c>
      <c r="B22" s="24">
        <v>2</v>
      </c>
      <c r="C22" s="24">
        <v>1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1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2</v>
      </c>
      <c r="Y22" s="24">
        <f t="shared" si="23"/>
        <v>1</v>
      </c>
      <c r="Z22" s="24">
        <f t="shared" si="24"/>
        <v>1</v>
      </c>
      <c r="AA22" s="24">
        <f t="shared" si="25"/>
        <v>0</v>
      </c>
      <c r="AB22" s="24">
        <f t="shared" si="26"/>
        <v>0</v>
      </c>
      <c r="AC22" s="24">
        <f t="shared" si="27"/>
        <v>0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0</v>
      </c>
      <c r="BD22" s="24">
        <f t="shared" si="2"/>
        <v>0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-1</v>
      </c>
      <c r="CP22" s="24">
        <f t="shared" si="33"/>
        <v>0</v>
      </c>
      <c r="CQ22" s="24">
        <f t="shared" si="34"/>
        <v>0</v>
      </c>
      <c r="CR22" s="24">
        <f t="shared" si="35"/>
        <v>0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52</v>
      </c>
      <c r="C23" s="25">
        <f t="shared" si="39"/>
        <v>40</v>
      </c>
      <c r="D23" s="25">
        <f t="shared" si="39"/>
        <v>32</v>
      </c>
      <c r="E23" s="25">
        <f t="shared" si="39"/>
        <v>2</v>
      </c>
      <c r="F23" s="25">
        <f t="shared" si="39"/>
        <v>1</v>
      </c>
      <c r="G23" s="25">
        <f t="shared" si="39"/>
        <v>6</v>
      </c>
      <c r="H23" s="25">
        <f t="shared" si="39"/>
        <v>7</v>
      </c>
      <c r="I23" s="25">
        <f t="shared" si="39"/>
        <v>7</v>
      </c>
      <c r="J23" s="25">
        <f t="shared" si="39"/>
        <v>3</v>
      </c>
      <c r="K23" s="23">
        <f>SUM(B23:J23)</f>
        <v>150</v>
      </c>
      <c r="L23" s="19"/>
      <c r="M23" s="25">
        <f t="shared" ref="M23:U23" si="40">SUM(M4:M22)</f>
        <v>3</v>
      </c>
      <c r="N23" s="25">
        <f t="shared" si="40"/>
        <v>0</v>
      </c>
      <c r="O23" s="25">
        <f t="shared" si="40"/>
        <v>3</v>
      </c>
      <c r="P23" s="25">
        <f t="shared" si="40"/>
        <v>0</v>
      </c>
      <c r="Q23" s="25">
        <f t="shared" si="40"/>
        <v>0</v>
      </c>
      <c r="R23" s="25">
        <f>SUM(R4:R22)</f>
        <v>3</v>
      </c>
      <c r="S23" s="25">
        <f t="shared" si="40"/>
        <v>4</v>
      </c>
      <c r="T23" s="25">
        <f t="shared" si="40"/>
        <v>6</v>
      </c>
      <c r="U23" s="25">
        <f t="shared" si="40"/>
        <v>0</v>
      </c>
      <c r="V23" s="32"/>
      <c r="W23" s="19"/>
      <c r="X23" s="25">
        <f t="shared" ref="X23:AF23" si="41">SUM(X4:X22)</f>
        <v>55</v>
      </c>
      <c r="Y23" s="25">
        <f t="shared" si="41"/>
        <v>40</v>
      </c>
      <c r="Z23" s="25">
        <f t="shared" si="41"/>
        <v>35</v>
      </c>
      <c r="AA23" s="25">
        <f t="shared" si="41"/>
        <v>2</v>
      </c>
      <c r="AB23" s="25">
        <f t="shared" si="41"/>
        <v>1</v>
      </c>
      <c r="AC23" s="25">
        <f t="shared" si="41"/>
        <v>9</v>
      </c>
      <c r="AD23" s="25">
        <f t="shared" si="41"/>
        <v>11</v>
      </c>
      <c r="AE23" s="25">
        <f t="shared" si="41"/>
        <v>13</v>
      </c>
      <c r="AF23" s="25">
        <f t="shared" si="41"/>
        <v>3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1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1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1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1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1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1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1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1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1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4" t="s">
        <v>75</v>
      </c>
      <c r="D3" s="94"/>
      <c r="E3" s="94"/>
      <c r="F3" s="94"/>
      <c r="G3" s="94"/>
      <c r="H3" s="94"/>
      <c r="I3" s="94"/>
      <c r="J3" s="94"/>
      <c r="K3" s="94"/>
      <c r="L3" s="94"/>
    </row>
    <row r="4" spans="2:12" x14ac:dyDescent="0.2">
      <c r="B4" s="75" t="s">
        <v>54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</row>
    <row r="5" spans="2:12" x14ac:dyDescent="0.2">
      <c r="B5" s="35" t="s">
        <v>25</v>
      </c>
      <c r="C5" s="76">
        <f>Forutsetninger!F4</f>
        <v>1</v>
      </c>
      <c r="D5" s="76">
        <f>Forutsetninger!G4</f>
        <v>1</v>
      </c>
      <c r="E5" s="76">
        <f>Forutsetninger!H4</f>
        <v>1</v>
      </c>
      <c r="F5" s="76">
        <f>Forutsetninger!I4</f>
        <v>1</v>
      </c>
      <c r="G5" s="76">
        <f>Forutsetninger!J4</f>
        <v>1</v>
      </c>
      <c r="H5" s="76">
        <f>Forutsetninger!K4</f>
        <v>0</v>
      </c>
      <c r="I5" s="76">
        <f>Forutsetninger!L4</f>
        <v>0</v>
      </c>
      <c r="J5" s="76">
        <f>Forutsetninger!M4</f>
        <v>0</v>
      </c>
      <c r="K5" s="76">
        <f>Forutsetninger!N4</f>
        <v>0</v>
      </c>
      <c r="L5" s="76">
        <f>Forutsetninger!O4</f>
        <v>1</v>
      </c>
    </row>
    <row r="6" spans="2:12" x14ac:dyDescent="0.2">
      <c r="B6" s="35" t="s">
        <v>26</v>
      </c>
      <c r="C6" s="76">
        <f>Forutsetninger!F5</f>
        <v>0</v>
      </c>
      <c r="D6" s="76">
        <f>Forutsetninger!G5</f>
        <v>0</v>
      </c>
      <c r="E6" s="76">
        <f>Forutsetninger!H5</f>
        <v>0</v>
      </c>
      <c r="F6" s="76">
        <f>Forutsetninger!I5</f>
        <v>0</v>
      </c>
      <c r="G6" s="76">
        <f>Forutsetninger!J5</f>
        <v>0</v>
      </c>
      <c r="H6" s="76">
        <f>Forutsetninger!K5</f>
        <v>1</v>
      </c>
      <c r="I6" s="76">
        <f>Forutsetninger!L5</f>
        <v>1</v>
      </c>
      <c r="J6" s="76">
        <f>Forutsetninger!M5</f>
        <v>1</v>
      </c>
      <c r="K6" s="76">
        <f>Forutsetninger!N5</f>
        <v>0</v>
      </c>
      <c r="L6" s="76">
        <f>Forutsetninger!O5</f>
        <v>0</v>
      </c>
    </row>
    <row r="7" spans="2:12" x14ac:dyDescent="0.2">
      <c r="B7" s="35" t="s">
        <v>27</v>
      </c>
      <c r="C7" s="76">
        <f>Forutsetninger!F6</f>
        <v>0</v>
      </c>
      <c r="D7" s="76">
        <f>Forutsetninger!G6</f>
        <v>0</v>
      </c>
      <c r="E7" s="76">
        <f>Forutsetninger!H6</f>
        <v>0</v>
      </c>
      <c r="F7" s="76">
        <f>Forutsetninger!I6</f>
        <v>0</v>
      </c>
      <c r="G7" s="76">
        <f>Forutsetninger!J6</f>
        <v>0</v>
      </c>
      <c r="H7" s="76">
        <f>Forutsetninger!K6</f>
        <v>1</v>
      </c>
      <c r="I7" s="76">
        <f>Forutsetninger!L6</f>
        <v>1</v>
      </c>
      <c r="J7" s="76">
        <f>Forutsetninger!M6</f>
        <v>1</v>
      </c>
      <c r="K7" s="76">
        <f>Forutsetninger!N6</f>
        <v>0</v>
      </c>
      <c r="L7" s="76">
        <f>Forutsetninger!O6</f>
        <v>0</v>
      </c>
    </row>
    <row r="8" spans="2:12" x14ac:dyDescent="0.2">
      <c r="B8" s="35" t="s">
        <v>28</v>
      </c>
      <c r="C8" s="76">
        <f>Forutsetninger!F7</f>
        <v>0</v>
      </c>
      <c r="D8" s="76">
        <f>Forutsetninger!G7</f>
        <v>0</v>
      </c>
      <c r="E8" s="76">
        <f>Forutsetninger!H7</f>
        <v>0</v>
      </c>
      <c r="F8" s="76">
        <f>Forutsetninger!I7</f>
        <v>0</v>
      </c>
      <c r="G8" s="76">
        <f>Forutsetninger!J7</f>
        <v>0</v>
      </c>
      <c r="H8" s="76">
        <f>Forutsetninger!K7</f>
        <v>0</v>
      </c>
      <c r="I8" s="76">
        <f>Forutsetninger!L7</f>
        <v>0</v>
      </c>
      <c r="J8" s="76">
        <f>Forutsetninger!M7</f>
        <v>1</v>
      </c>
      <c r="K8" s="76">
        <f>Forutsetninger!N7</f>
        <v>0</v>
      </c>
      <c r="L8" s="76">
        <f>Forutsetninger!O7</f>
        <v>0</v>
      </c>
    </row>
    <row r="9" spans="2:12" x14ac:dyDescent="0.2">
      <c r="B9" s="35" t="s">
        <v>29</v>
      </c>
      <c r="C9" s="76">
        <f>Forutsetninger!F8</f>
        <v>0</v>
      </c>
      <c r="D9" s="76">
        <f>Forutsetninger!G8</f>
        <v>0</v>
      </c>
      <c r="E9" s="76">
        <f>Forutsetninger!H8</f>
        <v>0</v>
      </c>
      <c r="F9" s="76">
        <f>Forutsetninger!I8</f>
        <v>0</v>
      </c>
      <c r="G9" s="76">
        <f>Forutsetninger!J8</f>
        <v>1</v>
      </c>
      <c r="H9" s="76">
        <f>Forutsetninger!K8</f>
        <v>0</v>
      </c>
      <c r="I9" s="76">
        <f>Forutsetninger!L8</f>
        <v>0</v>
      </c>
      <c r="J9" s="76">
        <f>Forutsetninger!M8</f>
        <v>0</v>
      </c>
      <c r="K9" s="76">
        <f>Forutsetninger!N8</f>
        <v>0</v>
      </c>
      <c r="L9" s="76">
        <f>Forutsetninger!O8</f>
        <v>0</v>
      </c>
    </row>
    <row r="10" spans="2:12" x14ac:dyDescent="0.2">
      <c r="B10" s="35" t="s">
        <v>30</v>
      </c>
      <c r="C10" s="76">
        <f>Forutsetninger!F9</f>
        <v>0</v>
      </c>
      <c r="D10" s="76">
        <f>Forutsetninger!G9</f>
        <v>1</v>
      </c>
      <c r="E10" s="76">
        <f>Forutsetninger!H9</f>
        <v>1</v>
      </c>
      <c r="F10" s="76">
        <f>Forutsetninger!I9</f>
        <v>1</v>
      </c>
      <c r="G10" s="76">
        <f>Forutsetninger!J9</f>
        <v>1</v>
      </c>
      <c r="H10" s="76">
        <f>Forutsetninger!K9</f>
        <v>0</v>
      </c>
      <c r="I10" s="76">
        <f>Forutsetninger!L9</f>
        <v>0</v>
      </c>
      <c r="J10" s="76">
        <f>Forutsetninger!M9</f>
        <v>0</v>
      </c>
      <c r="K10" s="76">
        <f>Forutsetninger!N9</f>
        <v>0</v>
      </c>
      <c r="L10" s="76">
        <f>Forutsetninger!O9</f>
        <v>0</v>
      </c>
    </row>
    <row r="11" spans="2:12" x14ac:dyDescent="0.2">
      <c r="B11" s="35" t="s">
        <v>31</v>
      </c>
      <c r="C11" s="76">
        <f>Forutsetninger!F10</f>
        <v>0</v>
      </c>
      <c r="D11" s="76">
        <f>Forutsetninger!G10</f>
        <v>0</v>
      </c>
      <c r="E11" s="76">
        <f>Forutsetninger!H10</f>
        <v>1</v>
      </c>
      <c r="F11" s="76">
        <f>Forutsetninger!I10</f>
        <v>1</v>
      </c>
      <c r="G11" s="76">
        <f>Forutsetninger!J10</f>
        <v>1</v>
      </c>
      <c r="H11" s="76">
        <f>Forutsetninger!K10</f>
        <v>0</v>
      </c>
      <c r="I11" s="76">
        <f>Forutsetninger!L10</f>
        <v>0</v>
      </c>
      <c r="J11" s="76">
        <f>Forutsetninger!M10</f>
        <v>0</v>
      </c>
      <c r="K11" s="76">
        <f>Forutsetninger!N10</f>
        <v>0</v>
      </c>
      <c r="L11" s="76">
        <f>Forutsetninger!O10</f>
        <v>0</v>
      </c>
    </row>
    <row r="12" spans="2:12" x14ac:dyDescent="0.2">
      <c r="B12" s="35" t="s">
        <v>32</v>
      </c>
      <c r="C12" s="76">
        <f>Forutsetninger!F11</f>
        <v>0</v>
      </c>
      <c r="D12" s="76">
        <f>Forutsetninger!G11</f>
        <v>0</v>
      </c>
      <c r="E12" s="76">
        <f>Forutsetninger!H11</f>
        <v>0</v>
      </c>
      <c r="F12" s="76">
        <f>Forutsetninger!I11</f>
        <v>1</v>
      </c>
      <c r="G12" s="76">
        <f>Forutsetninger!J11</f>
        <v>1</v>
      </c>
      <c r="H12" s="76">
        <f>Forutsetninger!K11</f>
        <v>0</v>
      </c>
      <c r="I12" s="76">
        <f>Forutsetninger!L11</f>
        <v>0</v>
      </c>
      <c r="J12" s="76">
        <f>Forutsetninger!M11</f>
        <v>0</v>
      </c>
      <c r="K12" s="76">
        <f>Forutsetninger!N11</f>
        <v>0</v>
      </c>
      <c r="L12" s="76">
        <f>Forutsetninger!O11</f>
        <v>0</v>
      </c>
    </row>
    <row r="13" spans="2:12" ht="16" thickBot="1" x14ac:dyDescent="0.25">
      <c r="B13" s="35" t="s">
        <v>33</v>
      </c>
      <c r="C13" s="76">
        <f>Forutsetninger!F12</f>
        <v>0</v>
      </c>
      <c r="D13" s="76">
        <f>Forutsetninger!G12</f>
        <v>0</v>
      </c>
      <c r="E13" s="76">
        <f>Forutsetninger!H12</f>
        <v>0</v>
      </c>
      <c r="F13" s="76">
        <f>Forutsetninger!I12</f>
        <v>0</v>
      </c>
      <c r="G13" s="76">
        <f>Forutsetninger!J12</f>
        <v>0</v>
      </c>
      <c r="H13" s="76">
        <f>Forutsetninger!K12</f>
        <v>0</v>
      </c>
      <c r="I13" s="76">
        <f>Forutsetninger!L12</f>
        <v>1</v>
      </c>
      <c r="J13" s="76">
        <f>Forutsetninger!M12</f>
        <v>1</v>
      </c>
      <c r="K13" s="76">
        <f>Forutsetninger!N12</f>
        <v>0</v>
      </c>
      <c r="L13" s="76">
        <f>Forutsetninger!O12</f>
        <v>0</v>
      </c>
    </row>
    <row r="14" spans="2:12" ht="16" thickBot="1" x14ac:dyDescent="0.25">
      <c r="B14" s="78"/>
      <c r="C14" s="81">
        <v>0</v>
      </c>
      <c r="D14" s="81">
        <v>0</v>
      </c>
      <c r="E14" s="81">
        <v>0</v>
      </c>
      <c r="F14" s="81">
        <v>1</v>
      </c>
      <c r="G14" s="81">
        <v>1</v>
      </c>
      <c r="H14" s="81">
        <v>0</v>
      </c>
      <c r="I14" s="81">
        <v>0</v>
      </c>
      <c r="J14" s="81">
        <v>0</v>
      </c>
      <c r="K14" s="81">
        <v>0</v>
      </c>
      <c r="L14" s="82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0" sqref="B10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21" x14ac:dyDescent="0.25">
      <c r="A2" s="17" t="s">
        <v>25</v>
      </c>
      <c r="B2" s="99">
        <v>0.289671045254072</v>
      </c>
      <c r="C2" s="30">
        <f>D2/SUM($D$2:$D$10)</f>
        <v>0.1802819627244765</v>
      </c>
      <c r="D2" s="72">
        <v>0.17230691383920901</v>
      </c>
      <c r="E2" s="72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21" x14ac:dyDescent="0.25">
      <c r="A3" s="17" t="s">
        <v>26</v>
      </c>
      <c r="B3" s="99">
        <v>0.20567587231425599</v>
      </c>
      <c r="C3" s="30">
        <f t="shared" ref="C3:C10" si="0">D3/SUM($D$2:$D$10)</f>
        <v>0.26771237466615622</v>
      </c>
      <c r="D3" s="72">
        <v>0.25586970753025101</v>
      </c>
      <c r="E3" s="72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21" x14ac:dyDescent="0.25">
      <c r="A4" s="17" t="s">
        <v>27</v>
      </c>
      <c r="B4" s="99">
        <v>0.185670153411512</v>
      </c>
      <c r="C4" s="30">
        <f t="shared" si="0"/>
        <v>0.21836696062289365</v>
      </c>
      <c r="D4" s="72">
        <v>0.20870716349412399</v>
      </c>
      <c r="E4" s="72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21" x14ac:dyDescent="0.25">
      <c r="A5" s="17" t="s">
        <v>28</v>
      </c>
      <c r="B5" s="99">
        <v>3.4666059643430301E-2</v>
      </c>
      <c r="C5" s="30">
        <f t="shared" si="0"/>
        <v>4.1283923844027209E-2</v>
      </c>
      <c r="D5" s="72">
        <v>3.9457666209285598E-2</v>
      </c>
      <c r="E5" s="72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21" x14ac:dyDescent="0.25">
      <c r="A6" s="17" t="s">
        <v>29</v>
      </c>
      <c r="B6" s="99">
        <v>2.9297059767461699E-2</v>
      </c>
      <c r="C6" s="72">
        <f t="shared" si="0"/>
        <v>3.2378105521835579E-2</v>
      </c>
      <c r="D6" s="72">
        <v>3.0945810407855601E-2</v>
      </c>
      <c r="E6" s="72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21" x14ac:dyDescent="0.25">
      <c r="A7" s="17" t="s">
        <v>30</v>
      </c>
      <c r="B7" s="99">
        <v>5.2916140963747901E-2</v>
      </c>
      <c r="C7" s="30">
        <f t="shared" si="0"/>
        <v>6.0631289383797478E-2</v>
      </c>
      <c r="D7" s="72">
        <v>5.7949171386493602E-2</v>
      </c>
      <c r="E7" s="72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21" x14ac:dyDescent="0.25">
      <c r="A8" s="17" t="s">
        <v>31</v>
      </c>
      <c r="B8" s="99">
        <v>5.5710051462072502E-2</v>
      </c>
      <c r="C8" s="30">
        <f t="shared" si="0"/>
        <v>5.3024296213869601E-2</v>
      </c>
      <c r="D8" s="72">
        <v>5.0678685216396797E-2</v>
      </c>
      <c r="E8" s="72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21" x14ac:dyDescent="0.25">
      <c r="A9" s="17" t="s">
        <v>32</v>
      </c>
      <c r="B9" s="99">
        <v>6.6874678826442796E-2</v>
      </c>
      <c r="C9" s="30">
        <f t="shared" si="0"/>
        <v>9.2882852059208348E-2</v>
      </c>
      <c r="D9" s="72">
        <v>8.8774036764650399E-2</v>
      </c>
      <c r="E9" s="72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21" x14ac:dyDescent="0.25">
      <c r="A10" s="17" t="s">
        <v>33</v>
      </c>
      <c r="B10" s="99">
        <v>3.9993681973836299E-2</v>
      </c>
      <c r="C10" s="30">
        <f t="shared" si="0"/>
        <v>5.3438234963735315E-2</v>
      </c>
      <c r="D10" s="72">
        <v>5.1074312751342298E-2</v>
      </c>
      <c r="E10" s="72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61">
        <f>1-SUM(B2:B10)</f>
        <v>3.9525256383168506E-2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x14ac:dyDescent="0.2">
      <c r="G13">
        <f>4%*G12</f>
        <v>113441.16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0.49446897627379693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6">
        <f ca="1">SQRT(1/SUM(T6:T68))</f>
        <v>8.8394046667753523E-3</v>
      </c>
      <c r="J3" s="86">
        <f t="shared" ref="J3:Q3" ca="1" si="0">SQRT(1/SUM(U6:U68))</f>
        <v>9.2580844232608445E-3</v>
      </c>
      <c r="K3" s="86">
        <f t="shared" ca="1" si="0"/>
        <v>9.684053919342319E-3</v>
      </c>
      <c r="L3" s="86">
        <f t="shared" ca="1" si="0"/>
        <v>3.9608275171943083E-3</v>
      </c>
      <c r="M3" s="86">
        <f t="shared" ca="1" si="0"/>
        <v>4.0486937285783261E-3</v>
      </c>
      <c r="N3" s="86">
        <f t="shared" ca="1" si="0"/>
        <v>5.1426664716444602E-3</v>
      </c>
      <c r="O3" s="86">
        <f t="shared" ca="1" si="0"/>
        <v>4.9731064169957631E-3</v>
      </c>
      <c r="P3" s="86">
        <f t="shared" ca="1" si="0"/>
        <v>6.5340516848025141E-3</v>
      </c>
      <c r="Q3" s="86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217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225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235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236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237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246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259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259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263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265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B2" sqref="B2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F50"/>
  <sheetViews>
    <sheetView tabSelected="1" topLeftCell="P1" workbookViewId="0">
      <selection activeCell="AF3" sqref="AF3:AF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31" width="9.1640625" style="3" customWidth="1"/>
    <col min="32" max="16384" width="9.1640625" style="3"/>
  </cols>
  <sheetData>
    <row r="1" spans="1:32" ht="21" x14ac:dyDescent="0.25">
      <c r="C1" s="96" t="s">
        <v>22</v>
      </c>
      <c r="D1" s="97"/>
      <c r="E1" s="97"/>
      <c r="F1" s="97"/>
      <c r="G1" s="97"/>
      <c r="H1" s="97"/>
      <c r="I1" s="97"/>
      <c r="J1" s="97"/>
      <c r="K1" s="98"/>
      <c r="L1" s="93" t="s">
        <v>69</v>
      </c>
      <c r="M1" s="96">
        <v>2017</v>
      </c>
      <c r="N1" s="97"/>
      <c r="O1" s="97"/>
      <c r="P1" s="97"/>
      <c r="Q1" s="97"/>
      <c r="R1" s="97"/>
      <c r="S1" s="97"/>
      <c r="T1" s="97"/>
      <c r="U1" s="98"/>
      <c r="V1" s="93" t="s">
        <v>69</v>
      </c>
      <c r="W1" s="96">
        <v>2021</v>
      </c>
      <c r="X1" s="97"/>
      <c r="Y1" s="97"/>
      <c r="Z1" s="97"/>
      <c r="AA1" s="97"/>
      <c r="AB1" s="97"/>
      <c r="AC1" s="97"/>
      <c r="AD1" s="97"/>
      <c r="AE1" s="98"/>
      <c r="AF1" s="93" t="s">
        <v>69</v>
      </c>
    </row>
    <row r="2" spans="1:32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8"/>
      <c r="M2" s="7" t="s">
        <v>25</v>
      </c>
      <c r="N2" s="8" t="s">
        <v>26</v>
      </c>
      <c r="O2" s="8" t="s">
        <v>27</v>
      </c>
      <c r="P2" s="8" t="s">
        <v>28</v>
      </c>
      <c r="Q2" s="8" t="s">
        <v>29</v>
      </c>
      <c r="R2" s="8" t="s">
        <v>30</v>
      </c>
      <c r="S2" s="8" t="s">
        <v>31</v>
      </c>
      <c r="T2" s="8" t="s">
        <v>32</v>
      </c>
      <c r="U2" s="9" t="s">
        <v>33</v>
      </c>
      <c r="V2" s="8"/>
      <c r="W2" s="7" t="s">
        <v>25</v>
      </c>
      <c r="X2" s="8" t="s">
        <v>26</v>
      </c>
      <c r="Y2" s="8" t="s">
        <v>27</v>
      </c>
      <c r="Z2" s="8" t="s">
        <v>28</v>
      </c>
      <c r="AA2" s="8" t="s">
        <v>29</v>
      </c>
      <c r="AB2" s="8" t="s">
        <v>30</v>
      </c>
      <c r="AC2" s="8" t="s">
        <v>31</v>
      </c>
      <c r="AD2" s="8" t="s">
        <v>32</v>
      </c>
      <c r="AE2" s="9" t="s">
        <v>33</v>
      </c>
      <c r="AF2" s="8"/>
    </row>
    <row r="3" spans="1:32" x14ac:dyDescent="0.2">
      <c r="A3" s="3" t="s">
        <v>56</v>
      </c>
      <c r="B3" s="4" t="s">
        <v>35</v>
      </c>
      <c r="C3" s="10">
        <f t="shared" ref="C3:AE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1">
        <f>L30/$C$50</f>
        <v>5.5392034427716723E-2</v>
      </c>
      <c r="M3" s="10">
        <f t="shared" si="0"/>
        <v>6.4355069686258898E-2</v>
      </c>
      <c r="N3" s="11">
        <f t="shared" si="0"/>
        <v>6.3373519444275786E-2</v>
      </c>
      <c r="O3" s="11">
        <f t="shared" si="0"/>
        <v>5.2209388793756265E-2</v>
      </c>
      <c r="P3" s="11">
        <f t="shared" si="0"/>
        <v>5.5465524402061941E-2</v>
      </c>
      <c r="Q3" s="11">
        <f t="shared" si="0"/>
        <v>4.4225007384901045E-2</v>
      </c>
      <c r="R3" s="11">
        <f t="shared" si="0"/>
        <v>4.8708204531919118E-2</v>
      </c>
      <c r="S3" s="11">
        <f t="shared" si="0"/>
        <v>4.616627540833794E-2</v>
      </c>
      <c r="T3" s="11">
        <f t="shared" si="0"/>
        <v>3.9926910374414093E-2</v>
      </c>
      <c r="U3" s="12">
        <f t="shared" si="0"/>
        <v>3.0318192479086858E-2</v>
      </c>
      <c r="V3" s="11">
        <f>V30/$M$50</f>
        <v>5.4750121746225518E-2</v>
      </c>
      <c r="W3" s="10">
        <f t="shared" si="0"/>
        <v>6.2988738744488723E-2</v>
      </c>
      <c r="X3" s="11">
        <f t="shared" si="0"/>
        <v>5.9245426785271046E-2</v>
      </c>
      <c r="Y3" s="11">
        <f t="shared" si="0"/>
        <v>4.9745107983323343E-2</v>
      </c>
      <c r="Z3" s="11">
        <f t="shared" si="0"/>
        <v>4.7766092603049128E-2</v>
      </c>
      <c r="AA3" s="11">
        <f t="shared" si="0"/>
        <v>4.0647020323510162E-2</v>
      </c>
      <c r="AB3" s="11">
        <f t="shared" si="0"/>
        <v>5.2635686967381204E-2</v>
      </c>
      <c r="AC3" s="11">
        <f t="shared" si="0"/>
        <v>5.6702757835125482E-2</v>
      </c>
      <c r="AD3" s="11">
        <f t="shared" si="0"/>
        <v>4.3145972823298823E-2</v>
      </c>
      <c r="AE3" s="12">
        <f t="shared" si="0"/>
        <v>3.4715097538436913E-2</v>
      </c>
      <c r="AF3" s="11">
        <f>AF30/$W$50</f>
        <v>5.391958403690901E-2</v>
      </c>
    </row>
    <row r="4" spans="1:32" x14ac:dyDescent="0.2">
      <c r="B4" s="4" t="s">
        <v>36</v>
      </c>
      <c r="C4" s="10">
        <f t="shared" ref="C4:AE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1">
        <f t="shared" ref="L4:L21" si="2">L31/$C$50</f>
        <v>0.11378091948875185</v>
      </c>
      <c r="M4" s="10">
        <f t="shared" si="1"/>
        <v>0.11073017315752479</v>
      </c>
      <c r="N4" s="11">
        <f t="shared" si="1"/>
        <v>0.11410651680642978</v>
      </c>
      <c r="O4" s="11">
        <f t="shared" si="1"/>
        <v>0.14251836893415837</v>
      </c>
      <c r="P4" s="11">
        <f t="shared" si="1"/>
        <v>6.3837064423397968E-2</v>
      </c>
      <c r="Q4" s="11">
        <f t="shared" si="1"/>
        <v>0.13144068869477149</v>
      </c>
      <c r="R4" s="11">
        <f t="shared" si="1"/>
        <v>9.2765378179858762E-2</v>
      </c>
      <c r="S4" s="11">
        <f t="shared" si="1"/>
        <v>6.6946562610713967E-2</v>
      </c>
      <c r="T4" s="11">
        <f t="shared" si="1"/>
        <v>0.10134375957598937</v>
      </c>
      <c r="U4" s="12">
        <f t="shared" si="1"/>
        <v>0.17084668907825815</v>
      </c>
      <c r="V4" s="11">
        <f t="shared" ref="V4:V21" si="3">V31/$M$50</f>
        <v>0.11509830724883466</v>
      </c>
      <c r="W4" s="10">
        <f t="shared" si="1"/>
        <v>0.12204459058915437</v>
      </c>
      <c r="X4" s="11">
        <f t="shared" si="1"/>
        <v>0.11192470430681667</v>
      </c>
      <c r="Y4" s="11">
        <f t="shared" si="1"/>
        <v>0.16702836743968544</v>
      </c>
      <c r="Z4" s="11">
        <f t="shared" si="1"/>
        <v>6.6876058723884815E-2</v>
      </c>
      <c r="AA4" s="11">
        <f t="shared" si="1"/>
        <v>0.14841857420928711</v>
      </c>
      <c r="AB4" s="11">
        <f t="shared" si="1"/>
        <v>0.10339811680893488</v>
      </c>
      <c r="AC4" s="11">
        <f t="shared" si="1"/>
        <v>8.0861423313918712E-2</v>
      </c>
      <c r="AD4" s="11">
        <f t="shared" si="1"/>
        <v>0.11067117419309577</v>
      </c>
      <c r="AE4" s="12">
        <f t="shared" si="1"/>
        <v>0.18476639526169114</v>
      </c>
      <c r="AF4" s="11">
        <f t="shared" ref="AF4:AF21" si="4">AF31/$W$50</f>
        <v>0.12463914777886705</v>
      </c>
    </row>
    <row r="5" spans="1:32" x14ac:dyDescent="0.2">
      <c r="B5" s="4" t="s">
        <v>37</v>
      </c>
      <c r="C5" s="10">
        <f t="shared" ref="C5:AE5" si="5">C32/SUM(C$30:C$48)</f>
        <v>0.12117599046148184</v>
      </c>
      <c r="D5" s="11">
        <f t="shared" si="5"/>
        <v>8.7712485978082663E-2</v>
      </c>
      <c r="E5" s="11">
        <f t="shared" si="5"/>
        <v>0.13658199076071514</v>
      </c>
      <c r="F5" s="11">
        <f t="shared" si="5"/>
        <v>6.2154914024294051E-2</v>
      </c>
      <c r="G5" s="11">
        <f t="shared" si="5"/>
        <v>0.24454214675560945</v>
      </c>
      <c r="H5" s="11">
        <f t="shared" si="5"/>
        <v>0.36203700692660401</v>
      </c>
      <c r="I5" s="11">
        <f t="shared" si="5"/>
        <v>1.9072201445702479E-2</v>
      </c>
      <c r="J5" s="11">
        <f t="shared" si="5"/>
        <v>0.18896579067582592</v>
      </c>
      <c r="K5" s="12">
        <f t="shared" si="5"/>
        <v>0.19301298263361996</v>
      </c>
      <c r="L5" s="11">
        <f t="shared" si="2"/>
        <v>0.12357029662038792</v>
      </c>
      <c r="M5" s="10">
        <f t="shared" si="5"/>
        <v>0.12995741291246488</v>
      </c>
      <c r="N5" s="11">
        <f t="shared" si="5"/>
        <v>7.8791313323483575E-2</v>
      </c>
      <c r="O5" s="11">
        <f t="shared" si="5"/>
        <v>0.1324678159900122</v>
      </c>
      <c r="P5" s="11">
        <f t="shared" si="5"/>
        <v>6.3869638509084101E-2</v>
      </c>
      <c r="Q5" s="11">
        <f t="shared" si="5"/>
        <v>0.23054606068278685</v>
      </c>
      <c r="R5" s="11">
        <f t="shared" si="5"/>
        <v>0.327316298460055</v>
      </c>
      <c r="S5" s="11">
        <f t="shared" si="5"/>
        <v>2.5753517186118662E-2</v>
      </c>
      <c r="T5" s="11">
        <f t="shared" si="5"/>
        <v>0.19323353497293186</v>
      </c>
      <c r="U5" s="12">
        <f t="shared" si="5"/>
        <v>0.24183410210304121</v>
      </c>
      <c r="V5" s="11">
        <f t="shared" si="3"/>
        <v>0.12592440977882391</v>
      </c>
      <c r="W5" s="10">
        <f t="shared" si="5"/>
        <v>0.11125691542186945</v>
      </c>
      <c r="X5" s="11">
        <f t="shared" si="5"/>
        <v>6.5759624098777975E-2</v>
      </c>
      <c r="Y5" s="11">
        <f t="shared" si="5"/>
        <v>0.14710957722174289</v>
      </c>
      <c r="Z5" s="11">
        <f t="shared" si="5"/>
        <v>6.1070722755505367E-2</v>
      </c>
      <c r="AA5" s="11">
        <f t="shared" si="5"/>
        <v>0.27368313684156842</v>
      </c>
      <c r="AB5" s="11">
        <f t="shared" si="5"/>
        <v>0.22246347503388184</v>
      </c>
      <c r="AC5" s="11">
        <f t="shared" si="5"/>
        <v>2.9662920232975398E-2</v>
      </c>
      <c r="AD5" s="11">
        <f t="shared" si="5"/>
        <v>0.22091264255929283</v>
      </c>
      <c r="AE5" s="12">
        <f t="shared" si="5"/>
        <v>0.27753159721464277</v>
      </c>
      <c r="AF5" s="11">
        <f t="shared" si="4"/>
        <v>0.12866199627949065</v>
      </c>
    </row>
    <row r="6" spans="1:32" x14ac:dyDescent="0.2">
      <c r="B6" s="4" t="s">
        <v>38</v>
      </c>
      <c r="C6" s="10">
        <f t="shared" ref="C6:AE6" si="6">C33/SUM(C$30:C$48)</f>
        <v>5.5664981269340823E-2</v>
      </c>
      <c r="D6" s="11">
        <f t="shared" si="6"/>
        <v>3.3039951678315645E-2</v>
      </c>
      <c r="E6" s="11">
        <f t="shared" si="6"/>
        <v>2.7096991444716875E-2</v>
      </c>
      <c r="F6" s="11">
        <f t="shared" si="6"/>
        <v>1.8116422148603879E-2</v>
      </c>
      <c r="G6" s="11">
        <f t="shared" si="6"/>
        <v>2.809783707297352E-2</v>
      </c>
      <c r="H6" s="11">
        <f t="shared" si="6"/>
        <v>2.513739390588924E-2</v>
      </c>
      <c r="I6" s="11">
        <f t="shared" si="6"/>
        <v>7.3913631184948217E-2</v>
      </c>
      <c r="J6" s="11">
        <f t="shared" si="6"/>
        <v>3.7863834995388763E-2</v>
      </c>
      <c r="K6" s="12">
        <f t="shared" si="6"/>
        <v>2.5661777103355252E-2</v>
      </c>
      <c r="L6" s="11">
        <f t="shared" si="2"/>
        <v>3.9531800852080246E-2</v>
      </c>
      <c r="M6" s="10">
        <f t="shared" si="6"/>
        <v>5.0641303357150974E-2</v>
      </c>
      <c r="N6" s="11">
        <f t="shared" si="6"/>
        <v>3.0079989925362226E-2</v>
      </c>
      <c r="O6" s="11">
        <f t="shared" si="6"/>
        <v>2.3815144052012908E-2</v>
      </c>
      <c r="P6" s="11">
        <f t="shared" si="6"/>
        <v>1.6702362435564388E-2</v>
      </c>
      <c r="Q6" s="11">
        <f t="shared" si="6"/>
        <v>2.3367936869645948E-2</v>
      </c>
      <c r="R6" s="11">
        <f t="shared" si="6"/>
        <v>2.0461699895068207E-2</v>
      </c>
      <c r="S6" s="11">
        <f t="shared" si="6"/>
        <v>8.3756874613018478E-2</v>
      </c>
      <c r="T6" s="11">
        <f t="shared" si="6"/>
        <v>3.7044182905653096E-2</v>
      </c>
      <c r="U6" s="12">
        <f t="shared" si="6"/>
        <v>2.0788054100539442E-2</v>
      </c>
      <c r="V6" s="11">
        <f t="shared" si="3"/>
        <v>3.8841484151756887E-2</v>
      </c>
      <c r="W6" s="10">
        <f t="shared" si="6"/>
        <v>4.8680485170935699E-2</v>
      </c>
      <c r="X6" s="11">
        <f t="shared" si="6"/>
        <v>2.7984783851024896E-2</v>
      </c>
      <c r="Y6" s="11">
        <f t="shared" si="6"/>
        <v>2.0073569607914166E-2</v>
      </c>
      <c r="Z6" s="11">
        <f t="shared" si="6"/>
        <v>1.6551383399209488E-2</v>
      </c>
      <c r="AA6" s="11">
        <f t="shared" si="6"/>
        <v>2.0247010123505063E-2</v>
      </c>
      <c r="AB6" s="11">
        <f t="shared" si="6"/>
        <v>2.7502820529195136E-2</v>
      </c>
      <c r="AC6" s="11">
        <f t="shared" si="6"/>
        <v>8.0121897652626436E-2</v>
      </c>
      <c r="AD6" s="11">
        <f t="shared" si="6"/>
        <v>3.4648320858710092E-2</v>
      </c>
      <c r="AE6" s="12">
        <f t="shared" si="6"/>
        <v>1.9223912742936559E-2</v>
      </c>
      <c r="AF6" s="11">
        <f t="shared" si="4"/>
        <v>3.85697897839248E-2</v>
      </c>
    </row>
    <row r="7" spans="1:32" x14ac:dyDescent="0.2">
      <c r="B7" s="4" t="s">
        <v>39</v>
      </c>
      <c r="C7" s="10">
        <f t="shared" ref="C7:AE7" si="7">C34/SUM(C$30:C$48)</f>
        <v>5.0356151166765166E-2</v>
      </c>
      <c r="D7" s="11">
        <f t="shared" si="7"/>
        <v>2.9517214600051772E-2</v>
      </c>
      <c r="E7" s="11">
        <f t="shared" si="7"/>
        <v>2.7014122004861675E-2</v>
      </c>
      <c r="F7" s="11">
        <f t="shared" si="7"/>
        <v>2.1568070673607824E-2</v>
      </c>
      <c r="G7" s="11">
        <f t="shared" si="7"/>
        <v>3.2633414190418437E-2</v>
      </c>
      <c r="H7" s="11">
        <f t="shared" si="7"/>
        <v>2.6568241683197293E-2</v>
      </c>
      <c r="I7" s="11">
        <f t="shared" si="7"/>
        <v>8.4720997444595353E-2</v>
      </c>
      <c r="J7" s="11">
        <f t="shared" si="7"/>
        <v>2.7279544220442851E-2</v>
      </c>
      <c r="K7" s="12">
        <f t="shared" si="7"/>
        <v>2.8649468892261002E-2</v>
      </c>
      <c r="L7" s="11">
        <f t="shared" si="2"/>
        <v>3.7918360491955766E-2</v>
      </c>
      <c r="M7" s="10">
        <f t="shared" si="7"/>
        <v>4.7513755591818183E-2</v>
      </c>
      <c r="N7" s="11">
        <f t="shared" si="7"/>
        <v>2.9875348845576941E-2</v>
      </c>
      <c r="O7" s="11">
        <f t="shared" si="7"/>
        <v>2.4782540473055486E-2</v>
      </c>
      <c r="P7" s="11">
        <f t="shared" si="7"/>
        <v>1.8575372362516999E-2</v>
      </c>
      <c r="Q7" s="11">
        <f t="shared" si="7"/>
        <v>2.6902139511330549E-2</v>
      </c>
      <c r="R7" s="11">
        <f t="shared" si="7"/>
        <v>2.5850089333824905E-2</v>
      </c>
      <c r="S7" s="11">
        <f t="shared" si="7"/>
        <v>7.6121542827059407E-2</v>
      </c>
      <c r="T7" s="11">
        <f t="shared" si="7"/>
        <v>2.8532192348287955E-2</v>
      </c>
      <c r="U7" s="12">
        <f t="shared" si="7"/>
        <v>2.1702759752951294E-2</v>
      </c>
      <c r="V7" s="11">
        <f t="shared" si="3"/>
        <v>3.7229456216437112E-2</v>
      </c>
      <c r="W7" s="10">
        <f t="shared" si="7"/>
        <v>4.4105520338424853E-2</v>
      </c>
      <c r="X7" s="11">
        <f t="shared" si="7"/>
        <v>2.4414530383232221E-2</v>
      </c>
      <c r="Y7" s="11">
        <f t="shared" si="7"/>
        <v>2.0290919389576431E-2</v>
      </c>
      <c r="Z7" s="11">
        <f t="shared" si="7"/>
        <v>1.356048842461886E-2</v>
      </c>
      <c r="AA7" s="11">
        <f t="shared" si="7"/>
        <v>1.9456509728254863E-2</v>
      </c>
      <c r="AB7" s="11">
        <f t="shared" si="7"/>
        <v>2.5076101070736743E-2</v>
      </c>
      <c r="AC7" s="11">
        <f t="shared" si="7"/>
        <v>6.357687220351349E-2</v>
      </c>
      <c r="AD7" s="11">
        <f t="shared" si="7"/>
        <v>2.4151221373041661E-2</v>
      </c>
      <c r="AE7" s="12">
        <f t="shared" si="7"/>
        <v>1.7244766540787146E-2</v>
      </c>
      <c r="AF7" s="11">
        <f t="shared" si="4"/>
        <v>3.3427938849644651E-2</v>
      </c>
    </row>
    <row r="8" spans="1:32" x14ac:dyDescent="0.2">
      <c r="B8" s="4" t="s">
        <v>40</v>
      </c>
      <c r="C8" s="10">
        <f t="shared" ref="C8:AE8" si="8">C35/SUM(C$30:C$48)</f>
        <v>5.438235694223275E-2</v>
      </c>
      <c r="D8" s="11">
        <f t="shared" si="8"/>
        <v>6.008715160928467E-2</v>
      </c>
      <c r="E8" s="11">
        <f t="shared" si="8"/>
        <v>5.7239105957128875E-2</v>
      </c>
      <c r="F8" s="11">
        <f t="shared" si="8"/>
        <v>3.0686228111689542E-2</v>
      </c>
      <c r="G8" s="11">
        <f t="shared" si="8"/>
        <v>4.2260460885385084E-2</v>
      </c>
      <c r="H8" s="11">
        <f t="shared" si="8"/>
        <v>2.9429937237813404E-2</v>
      </c>
      <c r="I8" s="11">
        <f t="shared" si="8"/>
        <v>5.8639134380813224E-2</v>
      </c>
      <c r="J8" s="11">
        <f t="shared" si="8"/>
        <v>3.5286715336016752E-2</v>
      </c>
      <c r="K8" s="12">
        <f t="shared" si="8"/>
        <v>4.6622829202495365E-2</v>
      </c>
      <c r="L8" s="11">
        <f t="shared" si="2"/>
        <v>5.3172836209965435E-2</v>
      </c>
      <c r="M8" s="10">
        <f t="shared" si="8"/>
        <v>5.386498732125846E-2</v>
      </c>
      <c r="N8" s="11">
        <f t="shared" si="8"/>
        <v>5.9411128426894784E-2</v>
      </c>
      <c r="O8" s="11">
        <f t="shared" si="8"/>
        <v>5.5957538255821095E-2</v>
      </c>
      <c r="P8" s="11">
        <f t="shared" si="8"/>
        <v>3.2533368079024731E-2</v>
      </c>
      <c r="Q8" s="11">
        <f t="shared" si="8"/>
        <v>4.3381018694349495E-2</v>
      </c>
      <c r="R8" s="11">
        <f t="shared" si="8"/>
        <v>3.2046737188395111E-2</v>
      </c>
      <c r="S8" s="11">
        <f t="shared" si="8"/>
        <v>5.4453888357277901E-2</v>
      </c>
      <c r="T8" s="11">
        <f t="shared" si="8"/>
        <v>4.336575455958961E-2</v>
      </c>
      <c r="U8" s="12">
        <f t="shared" si="8"/>
        <v>4.3812055351418966E-2</v>
      </c>
      <c r="V8" s="11">
        <f t="shared" si="3"/>
        <v>5.2434245725132354E-2</v>
      </c>
      <c r="W8" s="10">
        <f t="shared" si="8"/>
        <v>5.1793861071185124E-2</v>
      </c>
      <c r="X8" s="11">
        <f t="shared" si="8"/>
        <v>5.0534816465304756E-2</v>
      </c>
      <c r="Y8" s="11">
        <f t="shared" si="8"/>
        <v>5.1940011460261212E-2</v>
      </c>
      <c r="Z8" s="11">
        <f t="shared" si="8"/>
        <v>2.9282538114059852E-2</v>
      </c>
      <c r="AA8" s="11">
        <f t="shared" si="8"/>
        <v>3.6133518066759032E-2</v>
      </c>
      <c r="AB8" s="11">
        <f t="shared" si="8"/>
        <v>3.505971007088575E-2</v>
      </c>
      <c r="AC8" s="11">
        <f t="shared" si="8"/>
        <v>5.7246234747283235E-2</v>
      </c>
      <c r="AD8" s="11">
        <f t="shared" si="8"/>
        <v>3.5349881392422268E-2</v>
      </c>
      <c r="AE8" s="12">
        <f t="shared" si="8"/>
        <v>3.7887552480117583E-2</v>
      </c>
      <c r="AF8" s="11">
        <f t="shared" si="4"/>
        <v>4.8122664907770916E-2</v>
      </c>
    </row>
    <row r="9" spans="1:32" x14ac:dyDescent="0.2">
      <c r="B9" s="4" t="s">
        <v>41</v>
      </c>
      <c r="C9" s="10">
        <f t="shared" ref="C9:AE9" si="9">C36/SUM(C$30:C$48)</f>
        <v>4.6719762588752003E-2</v>
      </c>
      <c r="D9" s="11">
        <f t="shared" si="9"/>
        <v>5.8195271378030891E-2</v>
      </c>
      <c r="E9" s="11">
        <f t="shared" si="9"/>
        <v>5.4400498795104654E-2</v>
      </c>
      <c r="F9" s="11">
        <f t="shared" si="9"/>
        <v>4.2498816848083293E-2</v>
      </c>
      <c r="G9" s="11">
        <f t="shared" si="9"/>
        <v>4.3043763897311502E-2</v>
      </c>
      <c r="H9" s="11">
        <f t="shared" si="9"/>
        <v>3.0307957464797891E-2</v>
      </c>
      <c r="I9" s="11">
        <f t="shared" si="9"/>
        <v>2.6287840264680704E-2</v>
      </c>
      <c r="J9" s="11">
        <f t="shared" si="9"/>
        <v>4.5388334870411391E-2</v>
      </c>
      <c r="K9" s="12">
        <f t="shared" si="9"/>
        <v>4.2003034901365706E-2</v>
      </c>
      <c r="L9" s="11">
        <f t="shared" si="2"/>
        <v>4.8753100561546144E-2</v>
      </c>
      <c r="M9" s="10">
        <f t="shared" si="9"/>
        <v>4.8839686021671845E-2</v>
      </c>
      <c r="N9" s="11">
        <f t="shared" si="9"/>
        <v>5.3134719045787877E-2</v>
      </c>
      <c r="O9" s="11">
        <f t="shared" si="9"/>
        <v>5.755121811446387E-2</v>
      </c>
      <c r="P9" s="11">
        <f t="shared" si="9"/>
        <v>4.2012427013689256E-2</v>
      </c>
      <c r="Q9" s="11">
        <f t="shared" si="9"/>
        <v>4.3328269401190021E-2</v>
      </c>
      <c r="R9" s="11">
        <f t="shared" si="9"/>
        <v>3.6896287683276144E-2</v>
      </c>
      <c r="S9" s="11">
        <f t="shared" si="9"/>
        <v>2.9061278007529376E-2</v>
      </c>
      <c r="T9" s="11">
        <f t="shared" si="9"/>
        <v>3.9308372393912223E-2</v>
      </c>
      <c r="U9" s="12">
        <f t="shared" si="9"/>
        <v>4.2006098037682744E-2</v>
      </c>
      <c r="V9" s="11">
        <f t="shared" si="3"/>
        <v>4.7991857361808894E-2</v>
      </c>
      <c r="W9" s="10">
        <f t="shared" si="9"/>
        <v>4.7891610096579752E-2</v>
      </c>
      <c r="X9" s="11">
        <f t="shared" si="9"/>
        <v>4.9847896234638096E-2</v>
      </c>
      <c r="Y9" s="11">
        <f t="shared" si="9"/>
        <v>5.7352350341502614E-2</v>
      </c>
      <c r="Z9" s="11">
        <f t="shared" si="9"/>
        <v>4.2887140033879168E-2</v>
      </c>
      <c r="AA9" s="11">
        <f t="shared" si="9"/>
        <v>4.6138023069011533E-2</v>
      </c>
      <c r="AB9" s="11">
        <f t="shared" si="9"/>
        <v>4.3673854581319935E-2</v>
      </c>
      <c r="AC9" s="11">
        <f t="shared" si="9"/>
        <v>3.4184449611749025E-2</v>
      </c>
      <c r="AD9" s="11">
        <f t="shared" si="9"/>
        <v>3.8015811420528539E-2</v>
      </c>
      <c r="AE9" s="12">
        <f t="shared" si="9"/>
        <v>4.1991370340456802E-2</v>
      </c>
      <c r="AF9" s="11">
        <f t="shared" si="4"/>
        <v>4.6664486581179977E-2</v>
      </c>
    </row>
    <row r="10" spans="1:32" x14ac:dyDescent="0.2">
      <c r="B10" s="4" t="s">
        <v>42</v>
      </c>
      <c r="C10" s="10">
        <f t="shared" ref="C10:AE10" si="10">C37/SUM(C$30:C$48)</f>
        <v>4.1111424844730439E-2</v>
      </c>
      <c r="D10" s="11">
        <f t="shared" si="10"/>
        <v>4.0046595909914572E-2</v>
      </c>
      <c r="E10" s="11">
        <f t="shared" si="10"/>
        <v>2.8017762998663567E-2</v>
      </c>
      <c r="F10" s="11">
        <f t="shared" si="10"/>
        <v>4.1710048903612559E-2</v>
      </c>
      <c r="G10" s="11">
        <f t="shared" si="10"/>
        <v>2.6733373761875883E-2</v>
      </c>
      <c r="H10" s="11">
        <f t="shared" si="10"/>
        <v>2.8747032616825468E-2</v>
      </c>
      <c r="I10" s="11">
        <f t="shared" si="10"/>
        <v>2.8064393622430916E-2</v>
      </c>
      <c r="J10" s="11">
        <f t="shared" si="10"/>
        <v>2.7512260711422931E-2</v>
      </c>
      <c r="K10" s="12">
        <f t="shared" si="10"/>
        <v>2.2883156297420333E-2</v>
      </c>
      <c r="L10" s="11">
        <f t="shared" si="2"/>
        <v>3.4587768858878515E-2</v>
      </c>
      <c r="M10" s="10">
        <f t="shared" si="10"/>
        <v>3.8618035900003372E-2</v>
      </c>
      <c r="N10" s="11">
        <f t="shared" si="10"/>
        <v>3.6010083632986342E-2</v>
      </c>
      <c r="O10" s="11">
        <f t="shared" si="10"/>
        <v>2.6531767852147989E-2</v>
      </c>
      <c r="P10" s="11">
        <f t="shared" si="10"/>
        <v>3.9292490858897203E-2</v>
      </c>
      <c r="Q10" s="11">
        <f t="shared" si="10"/>
        <v>2.5235261847491242E-2</v>
      </c>
      <c r="R10" s="11">
        <f t="shared" si="10"/>
        <v>2.894132327500638E-2</v>
      </c>
      <c r="S10" s="11">
        <f t="shared" si="10"/>
        <v>4.1246022574888165E-2</v>
      </c>
      <c r="T10" s="11">
        <f t="shared" si="10"/>
        <v>2.7238369783568455E-2</v>
      </c>
      <c r="U10" s="12">
        <f t="shared" si="10"/>
        <v>2.0256430302556486E-2</v>
      </c>
      <c r="V10" s="11">
        <f t="shared" si="3"/>
        <v>3.32413318253858E-2</v>
      </c>
      <c r="W10" s="10">
        <f t="shared" si="10"/>
        <v>3.8145556386696859E-2</v>
      </c>
      <c r="X10" s="11">
        <f t="shared" si="10"/>
        <v>3.5491840657596238E-2</v>
      </c>
      <c r="Y10" s="11">
        <f t="shared" si="10"/>
        <v>2.5024863497750759E-2</v>
      </c>
      <c r="Z10" s="11">
        <f t="shared" si="10"/>
        <v>3.817581874647092E-2</v>
      </c>
      <c r="AA10" s="11">
        <f t="shared" si="10"/>
        <v>2.3196511598255799E-2</v>
      </c>
      <c r="AB10" s="11">
        <f t="shared" si="10"/>
        <v>3.1973093215829022E-2</v>
      </c>
      <c r="AC10" s="11">
        <f t="shared" si="10"/>
        <v>3.961425547385479E-2</v>
      </c>
      <c r="AD10" s="11">
        <f t="shared" si="10"/>
        <v>2.6019126294050329E-2</v>
      </c>
      <c r="AE10" s="12">
        <f t="shared" si="10"/>
        <v>1.6029628982849826E-2</v>
      </c>
      <c r="AF10" s="11">
        <f t="shared" si="4"/>
        <v>3.2332915039566465E-2</v>
      </c>
    </row>
    <row r="11" spans="1:32" x14ac:dyDescent="0.2">
      <c r="B11" s="4" t="s">
        <v>43</v>
      </c>
      <c r="C11" s="10">
        <f t="shared" ref="C11:AE11" si="11">C38/SUM(C$30:C$48)</f>
        <v>2.0145889943516519E-2</v>
      </c>
      <c r="D11" s="11">
        <f t="shared" si="11"/>
        <v>2.4329105185952195E-2</v>
      </c>
      <c r="E11" s="11">
        <f t="shared" si="11"/>
        <v>2.1444769491418408E-2</v>
      </c>
      <c r="F11" s="11">
        <f t="shared" si="11"/>
        <v>4.4290897617920807E-2</v>
      </c>
      <c r="G11" s="11">
        <f t="shared" si="11"/>
        <v>1.5691328077622801E-2</v>
      </c>
      <c r="H11" s="11">
        <f t="shared" si="11"/>
        <v>1.1219147344801795E-2</v>
      </c>
      <c r="I11" s="11">
        <f t="shared" si="11"/>
        <v>1.8119556891546568E-2</v>
      </c>
      <c r="J11" s="11">
        <f t="shared" si="11"/>
        <v>1.4238801596262746E-2</v>
      </c>
      <c r="K11" s="12">
        <f t="shared" si="11"/>
        <v>2.0455235204855843E-2</v>
      </c>
      <c r="L11" s="11">
        <f t="shared" si="2"/>
        <v>2.2001785693779356E-2</v>
      </c>
      <c r="M11" s="10">
        <f t="shared" si="11"/>
        <v>2.0576892103971924E-2</v>
      </c>
      <c r="N11" s="11">
        <f t="shared" si="11"/>
        <v>2.5175350419739093E-2</v>
      </c>
      <c r="O11" s="11">
        <f t="shared" si="11"/>
        <v>2.2669004427646525E-2</v>
      </c>
      <c r="P11" s="11">
        <f t="shared" si="11"/>
        <v>5.1727648069578247E-2</v>
      </c>
      <c r="Q11" s="11">
        <f t="shared" si="11"/>
        <v>1.7681563067054901E-2</v>
      </c>
      <c r="R11" s="11">
        <f t="shared" si="11"/>
        <v>1.144323757125436E-2</v>
      </c>
      <c r="S11" s="11">
        <f t="shared" si="11"/>
        <v>1.7830122145442145E-2</v>
      </c>
      <c r="T11" s="11">
        <f t="shared" si="11"/>
        <v>1.4538479871979662E-2</v>
      </c>
      <c r="U11" s="12">
        <f t="shared" si="11"/>
        <v>1.6581971698850756E-2</v>
      </c>
      <c r="V11" s="11">
        <f t="shared" si="3"/>
        <v>2.1997167202907012E-2</v>
      </c>
      <c r="W11" s="10">
        <f t="shared" si="11"/>
        <v>2.0611595187096148E-2</v>
      </c>
      <c r="X11" s="11">
        <f t="shared" si="11"/>
        <v>2.5190923417052938E-2</v>
      </c>
      <c r="Y11" s="11">
        <f t="shared" si="11"/>
        <v>2.1907870038003281E-2</v>
      </c>
      <c r="Z11" s="11">
        <f t="shared" si="11"/>
        <v>5.0721696781479392E-2</v>
      </c>
      <c r="AA11" s="11">
        <f t="shared" si="11"/>
        <v>1.67960083980042E-2</v>
      </c>
      <c r="AB11" s="11">
        <f t="shared" si="11"/>
        <v>1.7426967806940984E-2</v>
      </c>
      <c r="AC11" s="11">
        <f t="shared" si="11"/>
        <v>2.210387605748447E-2</v>
      </c>
      <c r="AD11" s="11">
        <f t="shared" si="11"/>
        <v>1.597804115529481E-2</v>
      </c>
      <c r="AE11" s="12">
        <f t="shared" si="11"/>
        <v>1.5542118705114492E-2</v>
      </c>
      <c r="AF11" s="11">
        <f t="shared" si="4"/>
        <v>2.1910206657508455E-2</v>
      </c>
    </row>
    <row r="12" spans="1:32" x14ac:dyDescent="0.2">
      <c r="B12" s="4" t="s">
        <v>44</v>
      </c>
      <c r="C12" s="10">
        <f t="shared" ref="C12:AE12" si="12">C39/SUM(C$30:C$48)</f>
        <v>2.6552152625435973E-2</v>
      </c>
      <c r="D12" s="11">
        <f t="shared" si="12"/>
        <v>3.8534386055742512E-2</v>
      </c>
      <c r="E12" s="11">
        <f t="shared" si="12"/>
        <v>3.5276073619631899E-2</v>
      </c>
      <c r="F12" s="11">
        <f t="shared" si="12"/>
        <v>8.5414103170847133E-2</v>
      </c>
      <c r="G12" s="11">
        <f t="shared" si="12"/>
        <v>2.7744087325651909E-2</v>
      </c>
      <c r="H12" s="11">
        <f t="shared" si="12"/>
        <v>1.4958863126402393E-2</v>
      </c>
      <c r="I12" s="11">
        <f t="shared" si="12"/>
        <v>1.9065764658174399E-2</v>
      </c>
      <c r="J12" s="11">
        <f t="shared" si="12"/>
        <v>2.213392403099439E-2</v>
      </c>
      <c r="K12" s="12">
        <f t="shared" si="12"/>
        <v>2.8359467206204688E-2</v>
      </c>
      <c r="L12" s="11">
        <f t="shared" si="2"/>
        <v>3.3673749153087358E-2</v>
      </c>
      <c r="M12" s="10">
        <f t="shared" si="12"/>
        <v>2.6516111552949195E-2</v>
      </c>
      <c r="N12" s="11">
        <f t="shared" si="12"/>
        <v>3.8868312340756633E-2</v>
      </c>
      <c r="O12" s="11">
        <f t="shared" si="12"/>
        <v>3.8403864127876434E-2</v>
      </c>
      <c r="P12" s="11">
        <f t="shared" si="12"/>
        <v>0.10380546756028242</v>
      </c>
      <c r="Q12" s="11">
        <f t="shared" si="12"/>
        <v>3.0710638477444402E-2</v>
      </c>
      <c r="R12" s="11">
        <f t="shared" si="12"/>
        <v>1.9511641757182157E-2</v>
      </c>
      <c r="S12" s="11">
        <f t="shared" si="12"/>
        <v>2.1661032325994894E-2</v>
      </c>
      <c r="T12" s="11">
        <f t="shared" si="12"/>
        <v>2.4588303390042105E-2</v>
      </c>
      <c r="U12" s="12">
        <f t="shared" si="12"/>
        <v>2.8566961144554766E-2</v>
      </c>
      <c r="V12" s="11">
        <f t="shared" si="3"/>
        <v>3.4193719739666714E-2</v>
      </c>
      <c r="W12" s="10">
        <f t="shared" si="12"/>
        <v>2.7885074432533311E-2</v>
      </c>
      <c r="X12" s="11">
        <f t="shared" si="12"/>
        <v>3.9890439109428126E-2</v>
      </c>
      <c r="Y12" s="11">
        <f t="shared" si="12"/>
        <v>3.6816089152928624E-2</v>
      </c>
      <c r="Z12" s="11">
        <f t="shared" si="12"/>
        <v>0.12879376058723885</v>
      </c>
      <c r="AA12" s="11">
        <f t="shared" si="12"/>
        <v>2.8305014152507076E-2</v>
      </c>
      <c r="AB12" s="11">
        <f t="shared" si="12"/>
        <v>2.3805975974058226E-2</v>
      </c>
      <c r="AC12" s="11">
        <f t="shared" si="12"/>
        <v>2.6948017301922519E-2</v>
      </c>
      <c r="AD12" s="11">
        <f t="shared" si="12"/>
        <v>2.4620389979961677E-2</v>
      </c>
      <c r="AE12" s="12">
        <f t="shared" si="12"/>
        <v>2.7897229922944272E-2</v>
      </c>
      <c r="AF12" s="11">
        <f t="shared" si="4"/>
        <v>3.4618182121468756E-2</v>
      </c>
    </row>
    <row r="13" spans="1:32" x14ac:dyDescent="0.2">
      <c r="B13" s="4" t="s">
        <v>45</v>
      </c>
      <c r="C13" s="10">
        <f t="shared" ref="C13:AE13" si="13">C40/SUM(C$30:C$48)</f>
        <v>6.2258722016898173E-2</v>
      </c>
      <c r="D13" s="11">
        <f t="shared" si="13"/>
        <v>9.7251704202260758E-2</v>
      </c>
      <c r="E13" s="11">
        <f t="shared" si="13"/>
        <v>9.5326163592166599E-2</v>
      </c>
      <c r="F13" s="11">
        <f t="shared" si="13"/>
        <v>0.1614450228742704</v>
      </c>
      <c r="G13" s="11">
        <f t="shared" si="13"/>
        <v>6.6542854255104103E-2</v>
      </c>
      <c r="H13" s="11">
        <f t="shared" si="13"/>
        <v>3.4470423726057686E-2</v>
      </c>
      <c r="I13" s="11">
        <f t="shared" si="13"/>
        <v>8.1238695391903815E-2</v>
      </c>
      <c r="J13" s="11">
        <f t="shared" si="13"/>
        <v>6.8160074469277118E-2</v>
      </c>
      <c r="K13" s="12">
        <f t="shared" si="13"/>
        <v>7.3019726858877088E-2</v>
      </c>
      <c r="L13" s="11">
        <f t="shared" si="2"/>
        <v>8.4433602048667331E-2</v>
      </c>
      <c r="M13" s="10">
        <f t="shared" si="13"/>
        <v>7.0341732973592516E-2</v>
      </c>
      <c r="N13" s="11">
        <f t="shared" si="13"/>
        <v>0.11120556084024279</v>
      </c>
      <c r="O13" s="11">
        <f t="shared" si="13"/>
        <v>9.8514794070091893E-2</v>
      </c>
      <c r="P13" s="11">
        <f t="shared" si="13"/>
        <v>0.17176315382297613</v>
      </c>
      <c r="Q13" s="11">
        <f t="shared" si="13"/>
        <v>6.7983289023927085E-2</v>
      </c>
      <c r="R13" s="11">
        <f t="shared" si="13"/>
        <v>4.1051019540001704E-2</v>
      </c>
      <c r="S13" s="11">
        <f t="shared" si="13"/>
        <v>6.2569325567766051E-2</v>
      </c>
      <c r="T13" s="11">
        <f t="shared" si="13"/>
        <v>5.6150764376752052E-2</v>
      </c>
      <c r="U13" s="12">
        <f t="shared" si="13"/>
        <v>6.9197091705105157E-2</v>
      </c>
      <c r="V13" s="11">
        <f t="shared" si="3"/>
        <v>8.5654343755645665E-2</v>
      </c>
      <c r="W13" s="10">
        <f t="shared" si="13"/>
        <v>7.3997247872717942E-2</v>
      </c>
      <c r="X13" s="11">
        <f t="shared" si="13"/>
        <v>0.12520997246546639</v>
      </c>
      <c r="Y13" s="11">
        <f t="shared" si="13"/>
        <v>0.10207536109702363</v>
      </c>
      <c r="Z13" s="11">
        <f t="shared" si="13"/>
        <v>0.18403267927724448</v>
      </c>
      <c r="AA13" s="11">
        <f t="shared" si="13"/>
        <v>5.2292026146013075E-2</v>
      </c>
      <c r="AB13" s="11">
        <f t="shared" si="13"/>
        <v>6.8260354357806308E-2</v>
      </c>
      <c r="AC13" s="11">
        <f t="shared" si="13"/>
        <v>6.6892329530649372E-2</v>
      </c>
      <c r="AD13" s="11">
        <f t="shared" si="13"/>
        <v>5.8146213984732291E-2</v>
      </c>
      <c r="AE13" s="12">
        <f t="shared" si="13"/>
        <v>6.6257740135193144E-2</v>
      </c>
      <c r="AF13" s="11">
        <f t="shared" si="4"/>
        <v>8.6634419472310417E-2</v>
      </c>
    </row>
    <row r="14" spans="1:32" x14ac:dyDescent="0.2">
      <c r="B14" s="4" t="s">
        <v>46</v>
      </c>
      <c r="C14" s="10">
        <f t="shared" ref="C14:AE14" si="14">C41/SUM(C$30:C$48)</f>
        <v>8.1411206844321182E-2</v>
      </c>
      <c r="D14" s="11">
        <f t="shared" si="14"/>
        <v>9.3530503063249629E-2</v>
      </c>
      <c r="E14" s="11">
        <f t="shared" si="14"/>
        <v>0.1179666207157815</v>
      </c>
      <c r="F14" s="11">
        <f t="shared" si="14"/>
        <v>0.13954251459220698</v>
      </c>
      <c r="G14" s="11">
        <f t="shared" si="14"/>
        <v>0.11586567616737417</v>
      </c>
      <c r="H14" s="11">
        <f t="shared" si="14"/>
        <v>8.7379272218789633E-2</v>
      </c>
      <c r="I14" s="11">
        <f t="shared" si="14"/>
        <v>8.0395476225725265E-2</v>
      </c>
      <c r="J14" s="11">
        <f t="shared" si="14"/>
        <v>0.12190034562708475</v>
      </c>
      <c r="K14" s="12">
        <f t="shared" si="14"/>
        <v>0.1120485584218513</v>
      </c>
      <c r="L14" s="11">
        <f t="shared" si="2"/>
        <v>0.1010101227592701</v>
      </c>
      <c r="M14" s="10">
        <f t="shared" si="14"/>
        <v>8.5142962018710355E-2</v>
      </c>
      <c r="N14" s="11">
        <f t="shared" si="14"/>
        <v>0.10133106653983417</v>
      </c>
      <c r="O14" s="11">
        <f t="shared" si="14"/>
        <v>0.12380081730670833</v>
      </c>
      <c r="P14" s="11">
        <f t="shared" si="14"/>
        <v>0.13447396923377608</v>
      </c>
      <c r="Q14" s="11">
        <f t="shared" si="14"/>
        <v>0.11052031902772502</v>
      </c>
      <c r="R14" s="11">
        <f t="shared" si="14"/>
        <v>9.0780182070843138E-2</v>
      </c>
      <c r="S14" s="11">
        <f t="shared" si="14"/>
        <v>7.4810358357311008E-2</v>
      </c>
      <c r="T14" s="11">
        <f t="shared" si="14"/>
        <v>0.11892953206750576</v>
      </c>
      <c r="U14" s="12">
        <f t="shared" si="14"/>
        <v>0.10184504729888202</v>
      </c>
      <c r="V14" s="11">
        <f t="shared" si="3"/>
        <v>0.10232530939553652</v>
      </c>
      <c r="W14" s="10">
        <f t="shared" si="14"/>
        <v>8.80080776722824E-2</v>
      </c>
      <c r="X14" s="11">
        <f t="shared" si="14"/>
        <v>0.11069228859885591</v>
      </c>
      <c r="Y14" s="11">
        <f t="shared" si="14"/>
        <v>0.12231194304118449</v>
      </c>
      <c r="Z14" s="11">
        <f t="shared" si="14"/>
        <v>0.12990542066629024</v>
      </c>
      <c r="AA14" s="11">
        <f t="shared" si="14"/>
        <v>0.10149005074502537</v>
      </c>
      <c r="AB14" s="11">
        <f t="shared" si="14"/>
        <v>0.10040374367598329</v>
      </c>
      <c r="AC14" s="11">
        <f t="shared" si="14"/>
        <v>7.4401741111422698E-2</v>
      </c>
      <c r="AD14" s="11">
        <f t="shared" si="14"/>
        <v>0.11795424948369529</v>
      </c>
      <c r="AE14" s="12">
        <f t="shared" si="14"/>
        <v>9.5777578892987852E-2</v>
      </c>
      <c r="AF14" s="11">
        <f t="shared" si="4"/>
        <v>0.10162696698560553</v>
      </c>
    </row>
    <row r="15" spans="1:32" x14ac:dyDescent="0.2">
      <c r="B15" s="4" t="s">
        <v>47</v>
      </c>
      <c r="C15" s="10">
        <f t="shared" ref="C15:AE15" si="15">C42/SUM(C$30:C$48)</f>
        <v>1.9642900011317275E-2</v>
      </c>
      <c r="D15" s="11">
        <f t="shared" si="15"/>
        <v>1.4254896884977133E-2</v>
      </c>
      <c r="E15" s="11">
        <f t="shared" si="15"/>
        <v>1.5304538614528197E-2</v>
      </c>
      <c r="F15" s="11">
        <f t="shared" si="15"/>
        <v>3.1247830888152705E-2</v>
      </c>
      <c r="G15" s="11">
        <f t="shared" si="15"/>
        <v>1.3038204972710734E-2</v>
      </c>
      <c r="H15" s="11">
        <f t="shared" si="15"/>
        <v>1.2552437319111574E-2</v>
      </c>
      <c r="I15" s="11">
        <f t="shared" si="15"/>
        <v>8.1225821816847649E-2</v>
      </c>
      <c r="J15" s="11">
        <f t="shared" si="15"/>
        <v>1.7893312417579577E-2</v>
      </c>
      <c r="K15" s="12">
        <f t="shared" si="15"/>
        <v>2.618782667341089E-2</v>
      </c>
      <c r="L15" s="11">
        <f t="shared" si="2"/>
        <v>2.166589152628013E-2</v>
      </c>
      <c r="M15" s="10">
        <f t="shared" si="15"/>
        <v>1.9049949622134799E-2</v>
      </c>
      <c r="N15" s="11">
        <f t="shared" si="15"/>
        <v>1.3836885317789607E-2</v>
      </c>
      <c r="O15" s="11">
        <f t="shared" si="15"/>
        <v>1.5789437777580691E-2</v>
      </c>
      <c r="P15" s="11">
        <f t="shared" si="15"/>
        <v>2.1849067973973305E-2</v>
      </c>
      <c r="Q15" s="11">
        <f t="shared" si="15"/>
        <v>1.4875300670971009E-2</v>
      </c>
      <c r="R15" s="11">
        <f t="shared" si="15"/>
        <v>1.1202178043731035E-2</v>
      </c>
      <c r="S15" s="11">
        <f t="shared" si="15"/>
        <v>6.107603214388594E-2</v>
      </c>
      <c r="T15" s="11">
        <f t="shared" si="15"/>
        <v>1.5781230493354972E-2</v>
      </c>
      <c r="U15" s="12">
        <f t="shared" si="15"/>
        <v>1.9795168477835978E-2</v>
      </c>
      <c r="V15" s="11">
        <f t="shared" si="3"/>
        <v>2.1451354246184617E-2</v>
      </c>
      <c r="W15" s="10">
        <f t="shared" si="15"/>
        <v>2.0967737817751988E-2</v>
      </c>
      <c r="X15" s="11">
        <f t="shared" si="15"/>
        <v>1.6656372483938187E-2</v>
      </c>
      <c r="Y15" s="11">
        <f t="shared" si="15"/>
        <v>1.4043759756041337E-2</v>
      </c>
      <c r="Z15" s="11">
        <f t="shared" si="15"/>
        <v>2.1077428006775832E-2</v>
      </c>
      <c r="AA15" s="11">
        <f t="shared" si="15"/>
        <v>1.3107006553503277E-2</v>
      </c>
      <c r="AB15" s="11">
        <f t="shared" si="15"/>
        <v>1.7661124947669426E-2</v>
      </c>
      <c r="AC15" s="11">
        <f t="shared" si="15"/>
        <v>4.3761058762510519E-2</v>
      </c>
      <c r="AD15" s="11">
        <f t="shared" si="15"/>
        <v>1.6113968508701542E-2</v>
      </c>
      <c r="AE15" s="12">
        <f t="shared" si="15"/>
        <v>1.5534842432312472E-2</v>
      </c>
      <c r="AF15" s="11">
        <f t="shared" si="4"/>
        <v>2.1056011632065049E-2</v>
      </c>
    </row>
    <row r="16" spans="1:32" x14ac:dyDescent="0.2">
      <c r="B16" s="4" t="s">
        <v>48</v>
      </c>
      <c r="C16" s="10">
        <f t="shared" ref="C16:AE16" si="16">C43/SUM(C$30:C$48)</f>
        <v>4.1208593354359835E-2</v>
      </c>
      <c r="D16" s="11">
        <f t="shared" si="16"/>
        <v>6.2011390111312452E-2</v>
      </c>
      <c r="E16" s="11">
        <f t="shared" si="16"/>
        <v>4.9450693998674092E-2</v>
      </c>
      <c r="F16" s="11">
        <f t="shared" si="16"/>
        <v>8.0681495504022718E-2</v>
      </c>
      <c r="G16" s="11">
        <f t="shared" si="16"/>
        <v>2.4800384071154234E-2</v>
      </c>
      <c r="H16" s="11">
        <f t="shared" si="16"/>
        <v>2.0877369841631167E-2</v>
      </c>
      <c r="I16" s="11">
        <f t="shared" si="16"/>
        <v>7.562581666741762E-2</v>
      </c>
      <c r="J16" s="11">
        <f t="shared" si="16"/>
        <v>3.0442764671912842E-2</v>
      </c>
      <c r="K16" s="12">
        <f t="shared" si="16"/>
        <v>5.3717754172989379E-2</v>
      </c>
      <c r="L16" s="11">
        <f t="shared" si="2"/>
        <v>5.0608413431173276E-2</v>
      </c>
      <c r="M16" s="10">
        <f t="shared" si="16"/>
        <v>3.9144912210171211E-2</v>
      </c>
      <c r="N16" s="11">
        <f t="shared" si="16"/>
        <v>7.36483006919567E-2</v>
      </c>
      <c r="O16" s="11">
        <f t="shared" si="16"/>
        <v>4.7357397717271918E-2</v>
      </c>
      <c r="P16" s="11">
        <f t="shared" si="16"/>
        <v>7.3430132657963956E-2</v>
      </c>
      <c r="Q16" s="11">
        <f t="shared" si="16"/>
        <v>3.3411402287209353E-2</v>
      </c>
      <c r="R16" s="11">
        <f t="shared" si="16"/>
        <v>2.5651569722923342E-2</v>
      </c>
      <c r="S16" s="11">
        <f t="shared" si="16"/>
        <v>6.3062675279868349E-2</v>
      </c>
      <c r="T16" s="11">
        <f t="shared" si="16"/>
        <v>3.2600923834708494E-2</v>
      </c>
      <c r="U16" s="12">
        <f t="shared" si="16"/>
        <v>3.9777968884371823E-2</v>
      </c>
      <c r="V16" s="11">
        <f t="shared" si="3"/>
        <v>4.9667238586748229E-2</v>
      </c>
      <c r="W16" s="10">
        <f t="shared" si="16"/>
        <v>3.820299874648006E-2</v>
      </c>
      <c r="X16" s="11">
        <f t="shared" si="16"/>
        <v>9.4512142325253845E-2</v>
      </c>
      <c r="Y16" s="11">
        <f t="shared" si="16"/>
        <v>3.9720672598778886E-2</v>
      </c>
      <c r="Z16" s="11">
        <f t="shared" si="16"/>
        <v>6.9743435911914176E-2</v>
      </c>
      <c r="AA16" s="11">
        <f t="shared" si="16"/>
        <v>3.1424515712257857E-2</v>
      </c>
      <c r="AB16" s="11">
        <f t="shared" si="16"/>
        <v>3.5002944703436435E-2</v>
      </c>
      <c r="AC16" s="11">
        <f t="shared" si="16"/>
        <v>6.4368512089259255E-2</v>
      </c>
      <c r="AD16" s="11">
        <f t="shared" si="16"/>
        <v>4.0957980908783977E-2</v>
      </c>
      <c r="AE16" s="12">
        <f t="shared" si="16"/>
        <v>3.1753654508014817E-2</v>
      </c>
      <c r="AF16" s="11">
        <f t="shared" si="4"/>
        <v>4.9686140668336369E-2</v>
      </c>
    </row>
    <row r="17" spans="1:32" x14ac:dyDescent="0.2">
      <c r="B17" s="4" t="s">
        <v>49</v>
      </c>
      <c r="C17" s="10">
        <f t="shared" ref="C17:AE17" si="17">C44/SUM(C$30:C$48)</f>
        <v>7.3563420743076174E-2</v>
      </c>
      <c r="D17" s="11">
        <f t="shared" si="17"/>
        <v>5.1494952109759254E-2</v>
      </c>
      <c r="E17" s="11">
        <f t="shared" si="17"/>
        <v>5.120805227877806E-2</v>
      </c>
      <c r="F17" s="11">
        <f t="shared" si="17"/>
        <v>4.1407162012935796E-2</v>
      </c>
      <c r="G17" s="11">
        <f t="shared" si="17"/>
        <v>6.9991914291489793E-2</v>
      </c>
      <c r="H17" s="11">
        <f t="shared" si="17"/>
        <v>5.4209619199375628E-2</v>
      </c>
      <c r="I17" s="11">
        <f t="shared" si="17"/>
        <v>7.3063975231241599E-2</v>
      </c>
      <c r="J17" s="11">
        <f t="shared" si="17"/>
        <v>8.6122339921221161E-2</v>
      </c>
      <c r="K17" s="12">
        <f t="shared" si="17"/>
        <v>6.3800370932389147E-2</v>
      </c>
      <c r="L17" s="11">
        <f t="shared" si="2"/>
        <v>6.1625096174825734E-2</v>
      </c>
      <c r="M17" s="10">
        <f t="shared" si="17"/>
        <v>7.4424400116362255E-2</v>
      </c>
      <c r="N17" s="11">
        <f t="shared" si="17"/>
        <v>4.7782567728326598E-2</v>
      </c>
      <c r="O17" s="11">
        <f t="shared" si="17"/>
        <v>5.1465762489851886E-2</v>
      </c>
      <c r="P17" s="11">
        <f t="shared" si="17"/>
        <v>4.0505875550705638E-2</v>
      </c>
      <c r="Q17" s="11">
        <f t="shared" si="17"/>
        <v>7.4714098831075659E-2</v>
      </c>
      <c r="R17" s="11">
        <f t="shared" si="17"/>
        <v>7.5777771475567912E-2</v>
      </c>
      <c r="S17" s="11">
        <f t="shared" si="17"/>
        <v>6.4264594377137704E-2</v>
      </c>
      <c r="T17" s="11">
        <f t="shared" si="17"/>
        <v>7.9490642485047266E-2</v>
      </c>
      <c r="U17" s="12">
        <f t="shared" si="17"/>
        <v>5.7735908060354939E-2</v>
      </c>
      <c r="V17" s="11">
        <f t="shared" si="3"/>
        <v>6.153588563547701E-2</v>
      </c>
      <c r="W17" s="10">
        <f t="shared" si="17"/>
        <v>7.3553026957061202E-2</v>
      </c>
      <c r="X17" s="11">
        <f t="shared" si="17"/>
        <v>4.8055553952100302E-2</v>
      </c>
      <c r="Y17" s="11">
        <f t="shared" si="17"/>
        <v>5.242246211198124E-2</v>
      </c>
      <c r="Z17" s="11">
        <f t="shared" si="17"/>
        <v>3.715238565782044E-2</v>
      </c>
      <c r="AA17" s="11">
        <f t="shared" si="17"/>
        <v>7.8778039389019699E-2</v>
      </c>
      <c r="AB17" s="11">
        <f t="shared" si="17"/>
        <v>7.7002220945001448E-2</v>
      </c>
      <c r="AC17" s="11">
        <f t="shared" si="17"/>
        <v>7.2416437322718574E-2</v>
      </c>
      <c r="AD17" s="11">
        <f t="shared" si="17"/>
        <v>7.7325125075088902E-2</v>
      </c>
      <c r="AE17" s="12">
        <f t="shared" si="17"/>
        <v>6.13753610850378E-2</v>
      </c>
      <c r="AF17" s="11">
        <f t="shared" si="4"/>
        <v>6.4530298728472671E-2</v>
      </c>
    </row>
    <row r="18" spans="1:32" x14ac:dyDescent="0.2">
      <c r="B18" s="4" t="s">
        <v>50</v>
      </c>
      <c r="C18" s="10">
        <f t="shared" ref="C18:AE18" si="18">C45/SUM(C$30:C$48)</f>
        <v>3.6642816560714886E-2</v>
      </c>
      <c r="D18" s="11">
        <f t="shared" si="18"/>
        <v>2.1289584951246873E-2</v>
      </c>
      <c r="E18" s="11">
        <f t="shared" si="18"/>
        <v>1.4637636931883951E-2</v>
      </c>
      <c r="F18" s="11">
        <f t="shared" si="18"/>
        <v>1.7081558605458274E-2</v>
      </c>
      <c r="G18" s="11">
        <f t="shared" si="18"/>
        <v>1.327824944410754E-2</v>
      </c>
      <c r="H18" s="11">
        <f t="shared" si="18"/>
        <v>1.3755650222756984E-2</v>
      </c>
      <c r="I18" s="11">
        <f t="shared" si="18"/>
        <v>8.236513320931789E-2</v>
      </c>
      <c r="J18" s="11">
        <f t="shared" si="18"/>
        <v>2.2375259651270029E-2</v>
      </c>
      <c r="K18" s="12">
        <f t="shared" si="18"/>
        <v>2.1298263361996292E-2</v>
      </c>
      <c r="L18" s="11">
        <f t="shared" si="2"/>
        <v>2.7195226283575062E-2</v>
      </c>
      <c r="M18" s="10">
        <f t="shared" si="18"/>
        <v>3.3487858747207992E-2</v>
      </c>
      <c r="N18" s="11">
        <f t="shared" si="18"/>
        <v>2.0270710914115961E-2</v>
      </c>
      <c r="O18" s="11">
        <f t="shared" si="18"/>
        <v>1.5783979969845614E-2</v>
      </c>
      <c r="P18" s="11">
        <f t="shared" si="18"/>
        <v>1.7223547806542505E-2</v>
      </c>
      <c r="Q18" s="11">
        <f t="shared" si="18"/>
        <v>1.4622104063805545E-2</v>
      </c>
      <c r="R18" s="11">
        <f t="shared" si="18"/>
        <v>1.8178724369700236E-2</v>
      </c>
      <c r="S18" s="11">
        <f t="shared" si="18"/>
        <v>6.3423582116238483E-2</v>
      </c>
      <c r="T18" s="11">
        <f t="shared" si="18"/>
        <v>2.2420583128099782E-2</v>
      </c>
      <c r="U18" s="12">
        <f t="shared" si="18"/>
        <v>1.3744038777265264E-2</v>
      </c>
      <c r="V18" s="11">
        <f t="shared" si="3"/>
        <v>2.6821067683939489E-2</v>
      </c>
      <c r="W18" s="10">
        <f t="shared" si="18"/>
        <v>3.2844264827149555E-2</v>
      </c>
      <c r="X18" s="11">
        <f t="shared" si="18"/>
        <v>1.7738704780156662E-2</v>
      </c>
      <c r="Y18" s="11">
        <f t="shared" si="18"/>
        <v>1.3371951339994336E-2</v>
      </c>
      <c r="Z18" s="11">
        <f t="shared" si="18"/>
        <v>1.5227978543195934E-2</v>
      </c>
      <c r="AA18" s="11">
        <f t="shared" si="18"/>
        <v>1.2104006052003026E-2</v>
      </c>
      <c r="AB18" s="11">
        <f t="shared" si="18"/>
        <v>2.1535361276085459E-2</v>
      </c>
      <c r="AC18" s="11">
        <f t="shared" si="18"/>
        <v>5.481671923585657E-2</v>
      </c>
      <c r="AD18" s="11">
        <f t="shared" si="18"/>
        <v>1.9244682390392127E-2</v>
      </c>
      <c r="AE18" s="12">
        <f t="shared" si="18"/>
        <v>1.1329156752744974E-2</v>
      </c>
      <c r="AF18" s="11">
        <f t="shared" si="4"/>
        <v>2.5791616030648157E-2</v>
      </c>
    </row>
    <row r="19" spans="1:32" x14ac:dyDescent="0.2">
      <c r="B19" s="4" t="s">
        <v>51</v>
      </c>
      <c r="C19" s="10">
        <f t="shared" ref="C19:AE19" si="19">C46/SUM(C$30:C$48)</f>
        <v>5.3434678183611903E-2</v>
      </c>
      <c r="D19" s="11">
        <f t="shared" si="19"/>
        <v>5.3973595651048409E-2</v>
      </c>
      <c r="E19" s="11">
        <f t="shared" si="19"/>
        <v>3.7187332288038388E-2</v>
      </c>
      <c r="F19" s="11">
        <f t="shared" si="19"/>
        <v>3.0831361413472157E-2</v>
      </c>
      <c r="G19" s="11">
        <f t="shared" si="19"/>
        <v>3.3517788558722457E-2</v>
      </c>
      <c r="H19" s="11">
        <f t="shared" si="19"/>
        <v>7.0371695229423437E-2</v>
      </c>
      <c r="I19" s="11">
        <f t="shared" si="19"/>
        <v>5.9456606396879448E-2</v>
      </c>
      <c r="J19" s="11">
        <f t="shared" si="19"/>
        <v>5.953232604442299E-2</v>
      </c>
      <c r="K19" s="12">
        <f t="shared" si="19"/>
        <v>3.3302984319676279E-2</v>
      </c>
      <c r="L19" s="11">
        <f t="shared" si="2"/>
        <v>4.6945875104787496E-2</v>
      </c>
      <c r="M19" s="10">
        <f t="shared" si="19"/>
        <v>4.394298249447217E-2</v>
      </c>
      <c r="N19" s="11">
        <f t="shared" si="19"/>
        <v>5.0031370802890163E-2</v>
      </c>
      <c r="O19" s="11">
        <f t="shared" si="19"/>
        <v>3.7212697589695656E-2</v>
      </c>
      <c r="P19" s="11">
        <f t="shared" si="19"/>
        <v>2.6743324348314699E-2</v>
      </c>
      <c r="Q19" s="11">
        <f t="shared" si="19"/>
        <v>3.0932185508714183E-2</v>
      </c>
      <c r="R19" s="11">
        <f t="shared" si="19"/>
        <v>5.5372791469328719E-2</v>
      </c>
      <c r="S19" s="11">
        <f t="shared" si="19"/>
        <v>8.3462189214514412E-2</v>
      </c>
      <c r="T19" s="11">
        <f t="shared" si="19"/>
        <v>5.3722009737717201E-2</v>
      </c>
      <c r="U19" s="12">
        <f t="shared" si="19"/>
        <v>2.7433351575326403E-2</v>
      </c>
      <c r="V19" s="11">
        <f t="shared" si="3"/>
        <v>4.6303944716944809E-2</v>
      </c>
      <c r="W19" s="10">
        <f t="shared" si="19"/>
        <v>4.9286821190869474E-2</v>
      </c>
      <c r="X19" s="11">
        <f t="shared" si="19"/>
        <v>4.7155053481646531E-2</v>
      </c>
      <c r="Y19" s="11">
        <f t="shared" si="19"/>
        <v>3.3807770584012277E-2</v>
      </c>
      <c r="Z19" s="11">
        <f t="shared" si="19"/>
        <v>2.326545736871824E-2</v>
      </c>
      <c r="AA19" s="11">
        <f t="shared" si="19"/>
        <v>2.6673013336506669E-2</v>
      </c>
      <c r="AB19" s="11">
        <f t="shared" si="19"/>
        <v>5.1606814682362293E-2</v>
      </c>
      <c r="AC19" s="11">
        <f t="shared" si="19"/>
        <v>7.0639590431828395E-2</v>
      </c>
      <c r="AD19" s="11">
        <f t="shared" si="19"/>
        <v>4.2181327089444581E-2</v>
      </c>
      <c r="AE19" s="12">
        <f t="shared" si="19"/>
        <v>2.4317303704350483E-2</v>
      </c>
      <c r="AF19" s="11">
        <f t="shared" si="4"/>
        <v>4.5161826170269773E-2</v>
      </c>
    </row>
    <row r="20" spans="1:32" x14ac:dyDescent="0.2">
      <c r="B20" s="4" t="s">
        <v>52</v>
      </c>
      <c r="C20" s="10">
        <f t="shared" ref="C20:AE20" si="20">C47/SUM(C$30:C$48)</f>
        <v>3.1363708590496461E-2</v>
      </c>
      <c r="D20" s="11">
        <f t="shared" si="20"/>
        <v>3.7352230563465358E-2</v>
      </c>
      <c r="E20" s="11">
        <f t="shared" si="20"/>
        <v>2.5864472950362521E-2</v>
      </c>
      <c r="F20" s="11">
        <f t="shared" si="20"/>
        <v>2.3088815270547406E-2</v>
      </c>
      <c r="G20" s="11">
        <f t="shared" si="20"/>
        <v>2.7668283808368707E-2</v>
      </c>
      <c r="H20" s="11">
        <f t="shared" si="20"/>
        <v>5.2290982407076192E-2</v>
      </c>
      <c r="I20" s="11">
        <f t="shared" si="20"/>
        <v>3.6277734508261619E-2</v>
      </c>
      <c r="J20" s="11">
        <f t="shared" si="20"/>
        <v>4.9025607433137101E-2</v>
      </c>
      <c r="K20" s="12">
        <f t="shared" si="20"/>
        <v>2.486595852301467E-2</v>
      </c>
      <c r="L20" s="11">
        <f t="shared" si="2"/>
        <v>3.1178586603277408E-2</v>
      </c>
      <c r="M20" s="10">
        <f t="shared" si="20"/>
        <v>2.7320159760883055E-2</v>
      </c>
      <c r="N20" s="11">
        <f t="shared" si="20"/>
        <v>3.7339126250053409E-2</v>
      </c>
      <c r="O20" s="11">
        <f t="shared" si="20"/>
        <v>2.5527531228893636E-2</v>
      </c>
      <c r="P20" s="11">
        <f t="shared" si="20"/>
        <v>1.9609599583051703E-2</v>
      </c>
      <c r="Q20" s="11">
        <f t="shared" si="20"/>
        <v>2.7303034139342534E-2</v>
      </c>
      <c r="R20" s="11">
        <f t="shared" si="20"/>
        <v>2.9508522163296559E-2</v>
      </c>
      <c r="S20" s="11">
        <f t="shared" si="20"/>
        <v>4.5163020624666823E-2</v>
      </c>
      <c r="T20" s="11">
        <f t="shared" si="20"/>
        <v>5.2280646003336699E-2</v>
      </c>
      <c r="U20" s="12">
        <f t="shared" si="20"/>
        <v>2.0905324055976858E-2</v>
      </c>
      <c r="V20" s="11">
        <f t="shared" si="3"/>
        <v>3.1258582717292212E-2</v>
      </c>
      <c r="W20" s="10">
        <f t="shared" si="20"/>
        <v>3.2126873578301594E-2</v>
      </c>
      <c r="X20" s="11">
        <f t="shared" si="20"/>
        <v>3.7515080496660642E-2</v>
      </c>
      <c r="Y20" s="11">
        <f t="shared" si="20"/>
        <v>2.0570839562929349E-2</v>
      </c>
      <c r="Z20" s="11">
        <f t="shared" si="20"/>
        <v>1.8192405420666292E-2</v>
      </c>
      <c r="AA20" s="11">
        <f t="shared" si="20"/>
        <v>2.3528011764005881E-2</v>
      </c>
      <c r="AB20" s="11">
        <f t="shared" si="20"/>
        <v>3.1611213998339611E-2</v>
      </c>
      <c r="AC20" s="11">
        <f t="shared" si="20"/>
        <v>4.3919883065606846E-2</v>
      </c>
      <c r="AD20" s="11">
        <f t="shared" si="20"/>
        <v>4.3974691203746336E-2</v>
      </c>
      <c r="AE20" s="12">
        <f t="shared" si="20"/>
        <v>1.6720874899041716E-2</v>
      </c>
      <c r="AF20" s="11">
        <f t="shared" si="4"/>
        <v>3.1265692532187826E-2</v>
      </c>
    </row>
    <row r="21" spans="1:32" x14ac:dyDescent="0.2">
      <c r="B21" s="4" t="s">
        <v>53</v>
      </c>
      <c r="C21" s="10">
        <f t="shared" ref="C21:AE21" si="21">C48/SUM(C$30:C$48)</f>
        <v>1.7150813529057386E-2</v>
      </c>
      <c r="D21" s="11">
        <f t="shared" si="21"/>
        <v>1.302528259556476E-2</v>
      </c>
      <c r="E21" s="11">
        <f t="shared" si="21"/>
        <v>1.0565195887571162E-2</v>
      </c>
      <c r="F21" s="11">
        <f t="shared" si="21"/>
        <v>7.0484303517905035E-3</v>
      </c>
      <c r="G21" s="11">
        <f t="shared" si="21"/>
        <v>1.0663028097837073E-2</v>
      </c>
      <c r="H21" s="11">
        <f t="shared" si="21"/>
        <v>1.1414262950798348E-2</v>
      </c>
      <c r="I21" s="11">
        <f t="shared" si="21"/>
        <v>9.0308129018969209E-3</v>
      </c>
      <c r="J21" s="11">
        <f t="shared" si="21"/>
        <v>1.6824540384930316E-2</v>
      </c>
      <c r="K21" s="12">
        <f t="shared" si="21"/>
        <v>9.1654021244309564E-3</v>
      </c>
      <c r="L21" s="11">
        <f t="shared" si="2"/>
        <v>1.2954533709994144E-2</v>
      </c>
      <c r="M21" s="10">
        <f t="shared" si="21"/>
        <v>1.5531614451393163E-2</v>
      </c>
      <c r="N21" s="11">
        <f t="shared" si="21"/>
        <v>1.5728128703497563E-2</v>
      </c>
      <c r="O21" s="11">
        <f t="shared" si="21"/>
        <v>7.6409308291092177E-3</v>
      </c>
      <c r="P21" s="11">
        <f t="shared" si="21"/>
        <v>6.5799653085987439E-3</v>
      </c>
      <c r="Q21" s="11">
        <f t="shared" si="21"/>
        <v>8.8196818162636619E-3</v>
      </c>
      <c r="R21" s="11">
        <f t="shared" si="21"/>
        <v>8.5363432687671926E-3</v>
      </c>
      <c r="S21" s="11">
        <f t="shared" si="21"/>
        <v>1.9171106262230272E-2</v>
      </c>
      <c r="T21" s="11">
        <f t="shared" si="21"/>
        <v>1.9503807697109327E-2</v>
      </c>
      <c r="U21" s="12">
        <f t="shared" si="21"/>
        <v>1.2852787115940897E-2</v>
      </c>
      <c r="V21" s="11">
        <f t="shared" si="3"/>
        <v>1.3280172265252566E-2</v>
      </c>
      <c r="W21" s="10">
        <f t="shared" si="21"/>
        <v>1.5609003898421485E-2</v>
      </c>
      <c r="X21" s="11">
        <f t="shared" si="21"/>
        <v>1.2179846106778575E-2</v>
      </c>
      <c r="Y21" s="11">
        <f t="shared" si="21"/>
        <v>4.3865137753657073E-3</v>
      </c>
      <c r="Z21" s="11">
        <f t="shared" si="21"/>
        <v>5.717108977978543E-3</v>
      </c>
      <c r="AA21" s="11">
        <f t="shared" si="21"/>
        <v>7.5820037910018954E-3</v>
      </c>
      <c r="AB21" s="11">
        <f t="shared" si="21"/>
        <v>1.3900419354152031E-2</v>
      </c>
      <c r="AC21" s="11">
        <f t="shared" si="21"/>
        <v>1.7761024019694215E-2</v>
      </c>
      <c r="AD21" s="11">
        <f t="shared" si="21"/>
        <v>1.0589179305718156E-2</v>
      </c>
      <c r="AE21" s="12">
        <f t="shared" si="21"/>
        <v>4.1038178603392201E-3</v>
      </c>
      <c r="AF21" s="11">
        <f t="shared" si="4"/>
        <v>1.1380115743773464E-2</v>
      </c>
    </row>
    <row r="22" spans="1:32" x14ac:dyDescent="0.2">
      <c r="C22" s="13">
        <f>SUM(C3:C21)</f>
        <v>1</v>
      </c>
      <c r="D22" s="14">
        <f t="shared" ref="D22:L22" si="22">SUM(D3:D21)</f>
        <v>1</v>
      </c>
      <c r="E22" s="14">
        <f t="shared" si="22"/>
        <v>1</v>
      </c>
      <c r="F22" s="14">
        <f t="shared" si="22"/>
        <v>1.0000000000000002</v>
      </c>
      <c r="G22" s="14">
        <f t="shared" si="22"/>
        <v>0.99999999999999978</v>
      </c>
      <c r="H22" s="14">
        <f t="shared" si="22"/>
        <v>0.99999999999999978</v>
      </c>
      <c r="I22" s="14">
        <f t="shared" si="22"/>
        <v>1.0000000000000002</v>
      </c>
      <c r="J22" s="14">
        <f t="shared" si="22"/>
        <v>1.0000000000000002</v>
      </c>
      <c r="K22" s="15">
        <f t="shared" si="22"/>
        <v>1</v>
      </c>
      <c r="L22" s="15">
        <f t="shared" si="22"/>
        <v>1.0000000000000002</v>
      </c>
      <c r="M22" s="13">
        <f>SUM(M3:M21)</f>
        <v>1</v>
      </c>
      <c r="N22" s="14">
        <f t="shared" ref="N22:U22" si="23">SUM(N3:N21)</f>
        <v>1</v>
      </c>
      <c r="O22" s="14">
        <f t="shared" si="23"/>
        <v>1</v>
      </c>
      <c r="P22" s="14">
        <f t="shared" si="23"/>
        <v>1</v>
      </c>
      <c r="Q22" s="14">
        <f t="shared" si="23"/>
        <v>1.0000000000000002</v>
      </c>
      <c r="R22" s="14">
        <f t="shared" si="23"/>
        <v>1</v>
      </c>
      <c r="S22" s="14">
        <f t="shared" si="23"/>
        <v>0.99999999999999989</v>
      </c>
      <c r="T22" s="14">
        <f t="shared" si="23"/>
        <v>1</v>
      </c>
      <c r="U22" s="15">
        <f t="shared" si="23"/>
        <v>1.0000000000000002</v>
      </c>
      <c r="V22" s="15">
        <f>SUM(V3:V21)</f>
        <v>0.99999999999999967</v>
      </c>
      <c r="W22" s="13">
        <f>SUM(W3:W21)</f>
        <v>0.99999999999999967</v>
      </c>
      <c r="X22" s="14">
        <f t="shared" ref="X22:AE22" si="24">SUM(X3:X21)</f>
        <v>1</v>
      </c>
      <c r="Y22" s="14">
        <f t="shared" si="24"/>
        <v>1.0000000000000002</v>
      </c>
      <c r="Z22" s="14">
        <f t="shared" si="24"/>
        <v>0.99999999999999989</v>
      </c>
      <c r="AA22" s="14">
        <f t="shared" si="24"/>
        <v>0.99999999999999989</v>
      </c>
      <c r="AB22" s="14">
        <f t="shared" si="24"/>
        <v>0.99999999999999989</v>
      </c>
      <c r="AC22" s="14">
        <f t="shared" si="24"/>
        <v>1</v>
      </c>
      <c r="AD22" s="14">
        <f t="shared" si="24"/>
        <v>0.99999999999999989</v>
      </c>
      <c r="AE22" s="15">
        <f t="shared" si="24"/>
        <v>1</v>
      </c>
      <c r="AF22" s="15">
        <f>SUM(AF3:AF21)</f>
        <v>1</v>
      </c>
    </row>
    <row r="26" spans="1:32" ht="19" x14ac:dyDescent="0.25">
      <c r="A26" s="2" t="s">
        <v>21</v>
      </c>
    </row>
    <row r="28" spans="1:32" x14ac:dyDescent="0.2">
      <c r="C28" s="4" t="s">
        <v>22</v>
      </c>
      <c r="M28" s="4" t="s">
        <v>23</v>
      </c>
      <c r="W28" s="4" t="s">
        <v>24</v>
      </c>
    </row>
    <row r="29" spans="1:32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132</v>
      </c>
      <c r="M29" s="5" t="s">
        <v>25</v>
      </c>
      <c r="N29" s="5" t="s">
        <v>26</v>
      </c>
      <c r="O29" s="5" t="s">
        <v>27</v>
      </c>
      <c r="P29" s="5" t="s">
        <v>28</v>
      </c>
      <c r="Q29" s="5" t="s">
        <v>29</v>
      </c>
      <c r="R29" s="5" t="s">
        <v>30</v>
      </c>
      <c r="S29" s="5" t="s">
        <v>31</v>
      </c>
      <c r="T29" s="5" t="s">
        <v>32</v>
      </c>
      <c r="U29" s="5" t="s">
        <v>33</v>
      </c>
      <c r="V29" s="5" t="s">
        <v>132</v>
      </c>
      <c r="W29" s="5" t="s">
        <v>25</v>
      </c>
      <c r="X29" s="5" t="s">
        <v>26</v>
      </c>
      <c r="Y29" s="5" t="s">
        <v>27</v>
      </c>
      <c r="Z29" s="5" t="s">
        <v>28</v>
      </c>
      <c r="AA29" s="5" t="s">
        <v>29</v>
      </c>
      <c r="AB29" s="5" t="s">
        <v>30</v>
      </c>
      <c r="AC29" s="5" t="s">
        <v>31</v>
      </c>
      <c r="AD29" s="5" t="s">
        <v>32</v>
      </c>
      <c r="AE29" s="5" t="s">
        <v>33</v>
      </c>
      <c r="AF29" s="5" t="s">
        <v>132</v>
      </c>
    </row>
    <row r="30" spans="1:32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f>SUM(C30:K30)</f>
        <v>154355</v>
      </c>
      <c r="M30" s="6">
        <v>51545</v>
      </c>
      <c r="N30" s="6">
        <v>28181</v>
      </c>
      <c r="O30" s="6">
        <v>38264</v>
      </c>
      <c r="P30" s="6">
        <v>6811</v>
      </c>
      <c r="Q30" s="6">
        <v>4192</v>
      </c>
      <c r="R30" s="6">
        <v>3435</v>
      </c>
      <c r="S30" s="6">
        <v>13943</v>
      </c>
      <c r="T30" s="6">
        <v>7036</v>
      </c>
      <c r="U30" s="6">
        <v>3878</v>
      </c>
      <c r="V30" s="6">
        <f>SUM(M30:U30)</f>
        <v>157285</v>
      </c>
      <c r="W30" s="6">
        <v>49345</v>
      </c>
      <c r="X30" s="6">
        <v>20527</v>
      </c>
      <c r="Y30" s="6">
        <v>30211</v>
      </c>
      <c r="Z30" s="6">
        <v>5414</v>
      </c>
      <c r="AA30" s="6">
        <v>4782</v>
      </c>
      <c r="AB30" s="6">
        <v>7418</v>
      </c>
      <c r="AC30" s="6">
        <v>22849</v>
      </c>
      <c r="AD30" s="6">
        <v>9840</v>
      </c>
      <c r="AE30" s="6">
        <v>4771</v>
      </c>
      <c r="AF30" s="6">
        <f>SUM(W30:AE30)</f>
        <v>155157</v>
      </c>
    </row>
    <row r="31" spans="1:32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f t="shared" ref="L31:L49" si="25">SUM(C31:K31)</f>
        <v>317061</v>
      </c>
      <c r="M31" s="6">
        <v>88689</v>
      </c>
      <c r="N31" s="6">
        <v>50741</v>
      </c>
      <c r="O31" s="6">
        <v>104451</v>
      </c>
      <c r="P31" s="6">
        <v>7839</v>
      </c>
      <c r="Q31" s="6">
        <v>12459</v>
      </c>
      <c r="R31" s="6">
        <v>6542</v>
      </c>
      <c r="S31" s="6">
        <v>20219</v>
      </c>
      <c r="T31" s="6">
        <v>17859</v>
      </c>
      <c r="U31" s="6">
        <v>21853</v>
      </c>
      <c r="V31" s="6">
        <f t="shared" ref="V31:V48" si="26">SUM(M31:U31)</f>
        <v>330652</v>
      </c>
      <c r="W31" s="6">
        <v>95609</v>
      </c>
      <c r="X31" s="6">
        <v>38779</v>
      </c>
      <c r="Y31" s="6">
        <v>101439</v>
      </c>
      <c r="Z31" s="6">
        <v>7580</v>
      </c>
      <c r="AA31" s="6">
        <v>17461</v>
      </c>
      <c r="AB31" s="6">
        <v>14572</v>
      </c>
      <c r="AC31" s="6">
        <v>32584</v>
      </c>
      <c r="AD31" s="6">
        <v>25240</v>
      </c>
      <c r="AE31" s="6">
        <v>25393</v>
      </c>
      <c r="AF31" s="6">
        <f t="shared" ref="AF31:AF48" si="27">SUM(W31:AE31)</f>
        <v>358657</v>
      </c>
    </row>
    <row r="32" spans="1:32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f t="shared" si="25"/>
        <v>344340</v>
      </c>
      <c r="M32" s="6">
        <v>104089</v>
      </c>
      <c r="N32" s="6">
        <v>35037</v>
      </c>
      <c r="O32" s="6">
        <v>97085</v>
      </c>
      <c r="P32" s="6">
        <v>7843</v>
      </c>
      <c r="Q32" s="6">
        <v>21853</v>
      </c>
      <c r="R32" s="6">
        <v>23083</v>
      </c>
      <c r="S32" s="6">
        <v>7778</v>
      </c>
      <c r="T32" s="6">
        <v>34052</v>
      </c>
      <c r="U32" s="6">
        <v>30933</v>
      </c>
      <c r="V32" s="6">
        <f t="shared" si="26"/>
        <v>361753</v>
      </c>
      <c r="W32" s="6">
        <v>87158</v>
      </c>
      <c r="X32" s="6">
        <v>22784</v>
      </c>
      <c r="Y32" s="6">
        <v>89342</v>
      </c>
      <c r="Z32" s="6">
        <v>6922</v>
      </c>
      <c r="AA32" s="6">
        <v>32198</v>
      </c>
      <c r="AB32" s="6">
        <v>31352</v>
      </c>
      <c r="AC32" s="6">
        <v>11953</v>
      </c>
      <c r="AD32" s="6">
        <v>50382</v>
      </c>
      <c r="AE32" s="6">
        <v>38142</v>
      </c>
      <c r="AF32" s="6">
        <f t="shared" si="27"/>
        <v>370233</v>
      </c>
    </row>
    <row r="33" spans="2:32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f t="shared" si="25"/>
        <v>110159</v>
      </c>
      <c r="M33" s="6">
        <v>40561</v>
      </c>
      <c r="N33" s="6">
        <v>13376</v>
      </c>
      <c r="O33" s="6">
        <v>17454</v>
      </c>
      <c r="P33" s="6">
        <v>2051</v>
      </c>
      <c r="Q33" s="6">
        <v>2215</v>
      </c>
      <c r="R33" s="6">
        <v>1443</v>
      </c>
      <c r="S33" s="6">
        <v>25296</v>
      </c>
      <c r="T33" s="6">
        <v>6528</v>
      </c>
      <c r="U33" s="6">
        <v>2659</v>
      </c>
      <c r="V33" s="6">
        <f t="shared" si="26"/>
        <v>111583</v>
      </c>
      <c r="W33" s="6">
        <v>38136</v>
      </c>
      <c r="X33" s="6">
        <v>9696</v>
      </c>
      <c r="Y33" s="6">
        <v>12191</v>
      </c>
      <c r="Z33" s="6">
        <v>1876</v>
      </c>
      <c r="AA33" s="6">
        <v>2382</v>
      </c>
      <c r="AB33" s="6">
        <v>3876</v>
      </c>
      <c r="AC33" s="6">
        <v>32286</v>
      </c>
      <c r="AD33" s="6">
        <v>7902</v>
      </c>
      <c r="AE33" s="6">
        <v>2642</v>
      </c>
      <c r="AF33" s="6">
        <f t="shared" si="27"/>
        <v>110987</v>
      </c>
    </row>
    <row r="34" spans="2:32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f t="shared" si="25"/>
        <v>105663</v>
      </c>
      <c r="M34" s="6">
        <v>38056</v>
      </c>
      <c r="N34" s="6">
        <v>13285</v>
      </c>
      <c r="O34" s="6">
        <v>18163</v>
      </c>
      <c r="P34" s="6">
        <v>2281</v>
      </c>
      <c r="Q34" s="6">
        <v>2550</v>
      </c>
      <c r="R34" s="6">
        <v>1823</v>
      </c>
      <c r="S34" s="6">
        <v>22990</v>
      </c>
      <c r="T34" s="6">
        <v>5028</v>
      </c>
      <c r="U34" s="6">
        <v>2776</v>
      </c>
      <c r="V34" s="6">
        <f t="shared" si="26"/>
        <v>106952</v>
      </c>
      <c r="W34" s="6">
        <v>34552</v>
      </c>
      <c r="X34" s="6">
        <v>8459</v>
      </c>
      <c r="Y34" s="6">
        <v>12323</v>
      </c>
      <c r="Z34" s="6">
        <v>1537</v>
      </c>
      <c r="AA34" s="6">
        <v>2289</v>
      </c>
      <c r="AB34" s="6">
        <v>3534</v>
      </c>
      <c r="AC34" s="6">
        <v>25619</v>
      </c>
      <c r="AD34" s="6">
        <v>5508</v>
      </c>
      <c r="AE34" s="6">
        <v>2370</v>
      </c>
      <c r="AF34" s="6">
        <f t="shared" si="27"/>
        <v>96191</v>
      </c>
    </row>
    <row r="35" spans="2:32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f t="shared" si="25"/>
        <v>148171</v>
      </c>
      <c r="M35" s="6">
        <v>43143</v>
      </c>
      <c r="N35" s="6">
        <v>26419</v>
      </c>
      <c r="O35" s="6">
        <v>41011</v>
      </c>
      <c r="P35" s="6">
        <v>3995</v>
      </c>
      <c r="Q35" s="6">
        <v>4112</v>
      </c>
      <c r="R35" s="6">
        <v>2260</v>
      </c>
      <c r="S35" s="6">
        <v>16446</v>
      </c>
      <c r="T35" s="6">
        <v>7642</v>
      </c>
      <c r="U35" s="6">
        <v>5604</v>
      </c>
      <c r="V35" s="6">
        <f t="shared" si="26"/>
        <v>150632</v>
      </c>
      <c r="W35" s="6">
        <v>40575</v>
      </c>
      <c r="X35" s="6">
        <v>17509</v>
      </c>
      <c r="Y35" s="6">
        <v>31544</v>
      </c>
      <c r="Z35" s="6">
        <v>3319</v>
      </c>
      <c r="AA35" s="6">
        <v>4251</v>
      </c>
      <c r="AB35" s="6">
        <v>4941</v>
      </c>
      <c r="AC35" s="6">
        <v>23068</v>
      </c>
      <c r="AD35" s="6">
        <v>8062</v>
      </c>
      <c r="AE35" s="6">
        <v>5207</v>
      </c>
      <c r="AF35" s="6">
        <f t="shared" si="27"/>
        <v>138476</v>
      </c>
    </row>
    <row r="36" spans="2:32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f t="shared" si="25"/>
        <v>135855</v>
      </c>
      <c r="M36" s="6">
        <v>39118</v>
      </c>
      <c r="N36" s="6">
        <v>23628</v>
      </c>
      <c r="O36" s="6">
        <v>42179</v>
      </c>
      <c r="P36" s="6">
        <v>5159</v>
      </c>
      <c r="Q36" s="6">
        <v>4107</v>
      </c>
      <c r="R36" s="6">
        <v>2602</v>
      </c>
      <c r="S36" s="6">
        <v>8777</v>
      </c>
      <c r="T36" s="6">
        <v>6927</v>
      </c>
      <c r="U36" s="6">
        <v>5373</v>
      </c>
      <c r="V36" s="6">
        <f t="shared" si="26"/>
        <v>137870</v>
      </c>
      <c r="W36" s="6">
        <v>37518</v>
      </c>
      <c r="X36" s="6">
        <v>17271</v>
      </c>
      <c r="Y36" s="6">
        <v>34831</v>
      </c>
      <c r="Z36" s="6">
        <v>4861</v>
      </c>
      <c r="AA36" s="6">
        <v>5428</v>
      </c>
      <c r="AB36" s="6">
        <v>6155</v>
      </c>
      <c r="AC36" s="6">
        <v>13775</v>
      </c>
      <c r="AD36" s="6">
        <v>8670</v>
      </c>
      <c r="AE36" s="6">
        <v>5771</v>
      </c>
      <c r="AF36" s="6">
        <f t="shared" si="27"/>
        <v>134280</v>
      </c>
    </row>
    <row r="37" spans="2:32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f t="shared" si="25"/>
        <v>96382</v>
      </c>
      <c r="M37" s="6">
        <v>30931</v>
      </c>
      <c r="N37" s="6">
        <v>16013</v>
      </c>
      <c r="O37" s="6">
        <v>19445</v>
      </c>
      <c r="P37" s="6">
        <v>4825</v>
      </c>
      <c r="Q37" s="6">
        <v>2392</v>
      </c>
      <c r="R37" s="6">
        <v>2041</v>
      </c>
      <c r="S37" s="6">
        <v>12457</v>
      </c>
      <c r="T37" s="6">
        <v>4800</v>
      </c>
      <c r="U37" s="6">
        <v>2591</v>
      </c>
      <c r="V37" s="6">
        <f t="shared" si="26"/>
        <v>95495</v>
      </c>
      <c r="W37" s="6">
        <v>29883</v>
      </c>
      <c r="X37" s="6">
        <v>12297</v>
      </c>
      <c r="Y37" s="6">
        <v>15198</v>
      </c>
      <c r="Z37" s="6">
        <v>4327</v>
      </c>
      <c r="AA37" s="6">
        <v>2729</v>
      </c>
      <c r="AB37" s="6">
        <v>4506</v>
      </c>
      <c r="AC37" s="6">
        <v>15963</v>
      </c>
      <c r="AD37" s="6">
        <v>5934</v>
      </c>
      <c r="AE37" s="6">
        <v>2203</v>
      </c>
      <c r="AF37" s="6">
        <f t="shared" si="27"/>
        <v>93040</v>
      </c>
    </row>
    <row r="38" spans="2:32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f t="shared" si="25"/>
        <v>61310</v>
      </c>
      <c r="M38" s="6">
        <v>16481</v>
      </c>
      <c r="N38" s="6">
        <v>11195</v>
      </c>
      <c r="O38" s="6">
        <v>16614</v>
      </c>
      <c r="P38" s="6">
        <v>6352</v>
      </c>
      <c r="Q38" s="6">
        <v>1676</v>
      </c>
      <c r="R38" s="6">
        <v>807</v>
      </c>
      <c r="S38" s="6">
        <v>5385</v>
      </c>
      <c r="T38" s="6">
        <v>2562</v>
      </c>
      <c r="U38" s="6">
        <v>2121</v>
      </c>
      <c r="V38" s="6">
        <f t="shared" si="26"/>
        <v>63193</v>
      </c>
      <c r="W38" s="6">
        <v>16147</v>
      </c>
      <c r="X38" s="6">
        <v>8728</v>
      </c>
      <c r="Y38" s="6">
        <v>13305</v>
      </c>
      <c r="Z38" s="6">
        <v>5749</v>
      </c>
      <c r="AA38" s="6">
        <v>1976</v>
      </c>
      <c r="AB38" s="6">
        <v>2456</v>
      </c>
      <c r="AC38" s="6">
        <v>8907</v>
      </c>
      <c r="AD38" s="6">
        <v>3644</v>
      </c>
      <c r="AE38" s="6">
        <v>2136</v>
      </c>
      <c r="AF38" s="6">
        <f t="shared" si="27"/>
        <v>63048</v>
      </c>
    </row>
    <row r="39" spans="2:32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f t="shared" si="25"/>
        <v>93835</v>
      </c>
      <c r="M39" s="6">
        <v>21238</v>
      </c>
      <c r="N39" s="6">
        <v>17284</v>
      </c>
      <c r="O39" s="6">
        <v>28146</v>
      </c>
      <c r="P39" s="6">
        <v>12747</v>
      </c>
      <c r="Q39" s="6">
        <v>2911</v>
      </c>
      <c r="R39" s="6">
        <v>1376</v>
      </c>
      <c r="S39" s="6">
        <v>6542</v>
      </c>
      <c r="T39" s="6">
        <v>4333</v>
      </c>
      <c r="U39" s="6">
        <v>3654</v>
      </c>
      <c r="V39" s="6">
        <f t="shared" si="26"/>
        <v>98231</v>
      </c>
      <c r="W39" s="6">
        <v>21845</v>
      </c>
      <c r="X39" s="6">
        <v>13821</v>
      </c>
      <c r="Y39" s="6">
        <v>22359</v>
      </c>
      <c r="Z39" s="6">
        <v>14598</v>
      </c>
      <c r="AA39" s="6">
        <v>3330</v>
      </c>
      <c r="AB39" s="6">
        <v>3355</v>
      </c>
      <c r="AC39" s="6">
        <v>10859</v>
      </c>
      <c r="AD39" s="6">
        <v>5615</v>
      </c>
      <c r="AE39" s="6">
        <v>3834</v>
      </c>
      <c r="AF39" s="6">
        <f t="shared" si="27"/>
        <v>99616</v>
      </c>
    </row>
    <row r="40" spans="2:32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f t="shared" si="25"/>
        <v>235282</v>
      </c>
      <c r="M40" s="6">
        <v>56340</v>
      </c>
      <c r="N40" s="6">
        <v>49451</v>
      </c>
      <c r="O40" s="6">
        <v>72201</v>
      </c>
      <c r="P40" s="6">
        <v>21092</v>
      </c>
      <c r="Q40" s="6">
        <v>6444</v>
      </c>
      <c r="R40" s="6">
        <v>2895</v>
      </c>
      <c r="S40" s="6">
        <v>18897</v>
      </c>
      <c r="T40" s="6">
        <v>9895</v>
      </c>
      <c r="U40" s="6">
        <v>8851</v>
      </c>
      <c r="V40" s="6">
        <f t="shared" si="26"/>
        <v>246066</v>
      </c>
      <c r="W40" s="6">
        <v>57969</v>
      </c>
      <c r="X40" s="6">
        <v>43382</v>
      </c>
      <c r="Y40" s="6">
        <v>61992</v>
      </c>
      <c r="Z40" s="6">
        <v>20859</v>
      </c>
      <c r="AA40" s="6">
        <v>6152</v>
      </c>
      <c r="AB40" s="6">
        <v>9620</v>
      </c>
      <c r="AC40" s="6">
        <v>26955</v>
      </c>
      <c r="AD40" s="6">
        <v>13261</v>
      </c>
      <c r="AE40" s="6">
        <v>9106</v>
      </c>
      <c r="AF40" s="6">
        <f t="shared" si="27"/>
        <v>249296</v>
      </c>
    </row>
    <row r="41" spans="2:32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f t="shared" si="25"/>
        <v>281474</v>
      </c>
      <c r="M41" s="6">
        <v>68195</v>
      </c>
      <c r="N41" s="6">
        <v>45060</v>
      </c>
      <c r="O41" s="6">
        <v>90733</v>
      </c>
      <c r="P41" s="6">
        <v>16513</v>
      </c>
      <c r="Q41" s="6">
        <v>10476</v>
      </c>
      <c r="R41" s="6">
        <v>6402</v>
      </c>
      <c r="S41" s="6">
        <v>22594</v>
      </c>
      <c r="T41" s="6">
        <v>20958</v>
      </c>
      <c r="U41" s="6">
        <v>13027</v>
      </c>
      <c r="V41" s="6">
        <f t="shared" si="26"/>
        <v>293958</v>
      </c>
      <c r="W41" s="6">
        <v>68945</v>
      </c>
      <c r="X41" s="6">
        <v>38352</v>
      </c>
      <c r="Y41" s="6">
        <v>74282</v>
      </c>
      <c r="Z41" s="6">
        <v>14724</v>
      </c>
      <c r="AA41" s="6">
        <v>11940</v>
      </c>
      <c r="AB41" s="6">
        <v>14150</v>
      </c>
      <c r="AC41" s="6">
        <v>29981</v>
      </c>
      <c r="AD41" s="6">
        <v>26901</v>
      </c>
      <c r="AE41" s="6">
        <v>13163</v>
      </c>
      <c r="AF41" s="6">
        <f t="shared" si="27"/>
        <v>292438</v>
      </c>
    </row>
    <row r="42" spans="2:32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f t="shared" si="25"/>
        <v>60374</v>
      </c>
      <c r="M42" s="6">
        <v>15258</v>
      </c>
      <c r="N42" s="6">
        <v>6153</v>
      </c>
      <c r="O42" s="6">
        <v>11572</v>
      </c>
      <c r="P42" s="6">
        <v>2683</v>
      </c>
      <c r="Q42" s="6">
        <v>1410</v>
      </c>
      <c r="R42" s="6">
        <v>790</v>
      </c>
      <c r="S42" s="6">
        <v>18446</v>
      </c>
      <c r="T42" s="6">
        <v>2781</v>
      </c>
      <c r="U42" s="6">
        <v>2532</v>
      </c>
      <c r="V42" s="6">
        <f t="shared" si="26"/>
        <v>61625</v>
      </c>
      <c r="W42" s="6">
        <v>16426</v>
      </c>
      <c r="X42" s="6">
        <v>5771</v>
      </c>
      <c r="Y42" s="6">
        <v>8529</v>
      </c>
      <c r="Z42" s="6">
        <v>2389</v>
      </c>
      <c r="AA42" s="6">
        <v>1542</v>
      </c>
      <c r="AB42" s="6">
        <v>2489</v>
      </c>
      <c r="AC42" s="6">
        <v>17634</v>
      </c>
      <c r="AD42" s="6">
        <v>3675</v>
      </c>
      <c r="AE42" s="6">
        <v>2135</v>
      </c>
      <c r="AF42" s="6">
        <f t="shared" si="27"/>
        <v>60590</v>
      </c>
    </row>
    <row r="43" spans="2:32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f t="shared" si="25"/>
        <v>141025</v>
      </c>
      <c r="M43" s="6">
        <v>31353</v>
      </c>
      <c r="N43" s="6">
        <v>32750</v>
      </c>
      <c r="O43" s="6">
        <v>34708</v>
      </c>
      <c r="P43" s="6">
        <v>9017</v>
      </c>
      <c r="Q43" s="6">
        <v>3167</v>
      </c>
      <c r="R43" s="6">
        <v>1809</v>
      </c>
      <c r="S43" s="6">
        <v>19046</v>
      </c>
      <c r="T43" s="6">
        <v>5745</v>
      </c>
      <c r="U43" s="6">
        <v>5088</v>
      </c>
      <c r="V43" s="6">
        <f t="shared" si="26"/>
        <v>142683</v>
      </c>
      <c r="W43" s="6">
        <v>29928</v>
      </c>
      <c r="X43" s="6">
        <v>32746</v>
      </c>
      <c r="Y43" s="6">
        <v>24123</v>
      </c>
      <c r="Z43" s="6">
        <v>7905</v>
      </c>
      <c r="AA43" s="6">
        <v>3697</v>
      </c>
      <c r="AB43" s="6">
        <v>4933</v>
      </c>
      <c r="AC43" s="6">
        <v>25938</v>
      </c>
      <c r="AD43" s="6">
        <v>9341</v>
      </c>
      <c r="AE43" s="6">
        <v>4364</v>
      </c>
      <c r="AF43" s="6">
        <f t="shared" si="27"/>
        <v>142975</v>
      </c>
    </row>
    <row r="44" spans="2:32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f t="shared" si="25"/>
        <v>171724</v>
      </c>
      <c r="M44" s="6">
        <v>59610</v>
      </c>
      <c r="N44" s="6">
        <v>21248</v>
      </c>
      <c r="O44" s="6">
        <v>37719</v>
      </c>
      <c r="P44" s="6">
        <v>4974</v>
      </c>
      <c r="Q44" s="6">
        <v>7082</v>
      </c>
      <c r="R44" s="6">
        <v>5344</v>
      </c>
      <c r="S44" s="6">
        <v>19409</v>
      </c>
      <c r="T44" s="6">
        <v>14008</v>
      </c>
      <c r="U44" s="6">
        <v>7385</v>
      </c>
      <c r="V44" s="6">
        <f t="shared" si="26"/>
        <v>176779</v>
      </c>
      <c r="W44" s="6">
        <v>57621</v>
      </c>
      <c r="X44" s="6">
        <v>16650</v>
      </c>
      <c r="Y44" s="6">
        <v>31837</v>
      </c>
      <c r="Z44" s="6">
        <v>4211</v>
      </c>
      <c r="AA44" s="6">
        <v>9268</v>
      </c>
      <c r="AB44" s="6">
        <v>10852</v>
      </c>
      <c r="AC44" s="6">
        <v>29181</v>
      </c>
      <c r="AD44" s="6">
        <v>17635</v>
      </c>
      <c r="AE44" s="6">
        <v>8435</v>
      </c>
      <c r="AF44" s="6">
        <f t="shared" si="27"/>
        <v>185690</v>
      </c>
    </row>
    <row r="45" spans="2:32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f t="shared" si="25"/>
        <v>75782</v>
      </c>
      <c r="M45" s="6">
        <v>26822</v>
      </c>
      <c r="N45" s="6">
        <v>9014</v>
      </c>
      <c r="O45" s="6">
        <v>11568</v>
      </c>
      <c r="P45" s="6">
        <v>2115</v>
      </c>
      <c r="Q45" s="6">
        <v>1386</v>
      </c>
      <c r="R45" s="6">
        <v>1282</v>
      </c>
      <c r="S45" s="6">
        <v>19155</v>
      </c>
      <c r="T45" s="6">
        <v>3951</v>
      </c>
      <c r="U45" s="6">
        <v>1758</v>
      </c>
      <c r="V45" s="6">
        <f t="shared" si="26"/>
        <v>77051</v>
      </c>
      <c r="W45" s="6">
        <v>25730</v>
      </c>
      <c r="X45" s="6">
        <v>6146</v>
      </c>
      <c r="Y45" s="6">
        <v>8121</v>
      </c>
      <c r="Z45" s="6">
        <v>1726</v>
      </c>
      <c r="AA45" s="6">
        <v>1424</v>
      </c>
      <c r="AB45" s="6">
        <v>3035</v>
      </c>
      <c r="AC45" s="6">
        <v>22089</v>
      </c>
      <c r="AD45" s="6">
        <v>4389</v>
      </c>
      <c r="AE45" s="6">
        <v>1557</v>
      </c>
      <c r="AF45" s="6">
        <f t="shared" si="27"/>
        <v>74217</v>
      </c>
    </row>
    <row r="46" spans="2:32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f t="shared" si="25"/>
        <v>130819</v>
      </c>
      <c r="M46" s="6">
        <v>35196</v>
      </c>
      <c r="N46" s="6">
        <v>22248</v>
      </c>
      <c r="O46" s="6">
        <v>27273</v>
      </c>
      <c r="P46" s="6">
        <v>3284</v>
      </c>
      <c r="Q46" s="6">
        <v>2932</v>
      </c>
      <c r="R46" s="6">
        <v>3905</v>
      </c>
      <c r="S46" s="6">
        <v>25207</v>
      </c>
      <c r="T46" s="6">
        <v>9467</v>
      </c>
      <c r="U46" s="6">
        <v>3509</v>
      </c>
      <c r="V46" s="6">
        <f t="shared" si="26"/>
        <v>133021</v>
      </c>
      <c r="W46" s="6">
        <v>38611</v>
      </c>
      <c r="X46" s="6">
        <v>16338</v>
      </c>
      <c r="Y46" s="6">
        <v>20532</v>
      </c>
      <c r="Z46" s="6">
        <v>2637</v>
      </c>
      <c r="AA46" s="6">
        <v>3138</v>
      </c>
      <c r="AB46" s="6">
        <v>7273</v>
      </c>
      <c r="AC46" s="6">
        <v>28465</v>
      </c>
      <c r="AD46" s="6">
        <v>9620</v>
      </c>
      <c r="AE46" s="6">
        <v>3342</v>
      </c>
      <c r="AF46" s="6">
        <f t="shared" si="27"/>
        <v>129956</v>
      </c>
    </row>
    <row r="47" spans="2:32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f t="shared" si="25"/>
        <v>86882</v>
      </c>
      <c r="M47" s="6">
        <v>21882</v>
      </c>
      <c r="N47" s="6">
        <v>16604</v>
      </c>
      <c r="O47" s="6">
        <v>18709</v>
      </c>
      <c r="P47" s="6">
        <v>2408</v>
      </c>
      <c r="Q47" s="6">
        <v>2588</v>
      </c>
      <c r="R47" s="6">
        <v>2081</v>
      </c>
      <c r="S47" s="6">
        <v>13640</v>
      </c>
      <c r="T47" s="6">
        <v>9213</v>
      </c>
      <c r="U47" s="6">
        <v>2674</v>
      </c>
      <c r="V47" s="6">
        <f t="shared" si="26"/>
        <v>89799</v>
      </c>
      <c r="W47" s="6">
        <v>25168</v>
      </c>
      <c r="X47" s="6">
        <v>12998</v>
      </c>
      <c r="Y47" s="6">
        <v>12493</v>
      </c>
      <c r="Z47" s="6">
        <v>2062</v>
      </c>
      <c r="AA47" s="6">
        <v>2768</v>
      </c>
      <c r="AB47" s="6">
        <v>4455</v>
      </c>
      <c r="AC47" s="6">
        <v>17698</v>
      </c>
      <c r="AD47" s="6">
        <v>10029</v>
      </c>
      <c r="AE47" s="6">
        <v>2298</v>
      </c>
      <c r="AF47" s="6">
        <f t="shared" si="27"/>
        <v>89969</v>
      </c>
    </row>
    <row r="48" spans="2:32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f t="shared" si="25"/>
        <v>36099</v>
      </c>
      <c r="M48" s="6">
        <v>12440</v>
      </c>
      <c r="N48" s="6">
        <v>6994</v>
      </c>
      <c r="O48" s="6">
        <v>5600</v>
      </c>
      <c r="P48" s="6">
        <v>808</v>
      </c>
      <c r="Q48" s="6">
        <v>836</v>
      </c>
      <c r="R48" s="6">
        <v>602</v>
      </c>
      <c r="S48" s="6">
        <v>5790</v>
      </c>
      <c r="T48" s="6">
        <v>3437</v>
      </c>
      <c r="U48" s="6">
        <v>1644</v>
      </c>
      <c r="V48" s="6">
        <f t="shared" si="26"/>
        <v>38151</v>
      </c>
      <c r="W48" s="6">
        <v>12228</v>
      </c>
      <c r="X48" s="6">
        <v>4220</v>
      </c>
      <c r="Y48" s="6">
        <v>2664</v>
      </c>
      <c r="Z48" s="6">
        <v>648</v>
      </c>
      <c r="AA48" s="6">
        <v>892</v>
      </c>
      <c r="AB48" s="6">
        <v>1959</v>
      </c>
      <c r="AC48" s="6">
        <v>7157</v>
      </c>
      <c r="AD48" s="6">
        <v>2415</v>
      </c>
      <c r="AE48" s="6">
        <v>564</v>
      </c>
      <c r="AF48" s="6">
        <f t="shared" si="27"/>
        <v>32747</v>
      </c>
    </row>
    <row r="49" spans="2:31" x14ac:dyDescent="0.2">
      <c r="C49" s="6">
        <f>SUM(C30:C48)</f>
        <v>874769</v>
      </c>
      <c r="D49" s="6">
        <f t="shared" ref="D49:K49" si="28">SUM(D30:D48)</f>
        <v>463560</v>
      </c>
      <c r="E49" s="6">
        <f t="shared" si="28"/>
        <v>760232</v>
      </c>
      <c r="F49" s="6">
        <f t="shared" si="28"/>
        <v>158475</v>
      </c>
      <c r="G49" s="6">
        <f t="shared" si="28"/>
        <v>79152</v>
      </c>
      <c r="H49" s="6">
        <f t="shared" si="28"/>
        <v>30751</v>
      </c>
      <c r="I49" s="6">
        <f t="shared" si="28"/>
        <v>155357</v>
      </c>
      <c r="J49" s="6">
        <f t="shared" si="28"/>
        <v>116021</v>
      </c>
      <c r="K49" s="6">
        <f t="shared" si="28"/>
        <v>148275</v>
      </c>
      <c r="L49" s="6">
        <f t="shared" si="25"/>
        <v>2786592</v>
      </c>
      <c r="M49" s="6">
        <f>SUM(M30:M48)</f>
        <v>800947</v>
      </c>
      <c r="N49" s="6">
        <f t="shared" ref="N49:U49" si="29">SUM(N30:N48)</f>
        <v>444681</v>
      </c>
      <c r="O49" s="6">
        <f t="shared" si="29"/>
        <v>732895</v>
      </c>
      <c r="P49" s="6">
        <f t="shared" si="29"/>
        <v>122797</v>
      </c>
      <c r="Q49" s="6">
        <f t="shared" si="29"/>
        <v>94788</v>
      </c>
      <c r="R49" s="6">
        <f t="shared" si="29"/>
        <v>70522</v>
      </c>
      <c r="S49" s="6">
        <f t="shared" si="29"/>
        <v>302017</v>
      </c>
      <c r="T49" s="6">
        <f t="shared" si="29"/>
        <v>176222</v>
      </c>
      <c r="U49" s="6">
        <f t="shared" si="29"/>
        <v>127910</v>
      </c>
      <c r="W49" s="6">
        <f>SUM(W30:W48)</f>
        <v>783394</v>
      </c>
      <c r="X49" s="6">
        <f t="shared" ref="X49:AE49" si="30">SUM(X30:X48)</f>
        <v>346474</v>
      </c>
      <c r="Y49" s="6">
        <f t="shared" si="30"/>
        <v>607316</v>
      </c>
      <c r="Z49" s="6">
        <f t="shared" si="30"/>
        <v>113344</v>
      </c>
      <c r="AA49" s="6">
        <f t="shared" si="30"/>
        <v>117647</v>
      </c>
      <c r="AB49" s="6">
        <f t="shared" si="30"/>
        <v>140931</v>
      </c>
      <c r="AC49" s="6">
        <f t="shared" si="30"/>
        <v>402961</v>
      </c>
      <c r="AD49" s="6">
        <f t="shared" si="30"/>
        <v>228063</v>
      </c>
      <c r="AE49" s="6">
        <f t="shared" si="30"/>
        <v>137433</v>
      </c>
    </row>
    <row r="50" spans="2:31" x14ac:dyDescent="0.2">
      <c r="B50" s="3" t="s">
        <v>132</v>
      </c>
      <c r="C50" s="6">
        <f>SUM(C49:K49)</f>
        <v>2786592</v>
      </c>
      <c r="L50" s="3" t="s">
        <v>132</v>
      </c>
      <c r="M50" s="6">
        <f>SUM(M49:U49)</f>
        <v>2872779</v>
      </c>
      <c r="V50" s="3" t="s">
        <v>132</v>
      </c>
      <c r="W50" s="6">
        <f>SUM(W49:AE49)</f>
        <v>2877563</v>
      </c>
    </row>
  </sheetData>
  <mergeCells count="3">
    <mergeCell ref="C1:K1"/>
    <mergeCell ref="M1:U1"/>
    <mergeCell ref="W1:AE1"/>
  </mergeCells>
  <pageMargins left="0.75" right="0.75" top="0.75" bottom="0.5" header="0.5" footer="0.7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3"/>
      <c r="C2" s="83" t="s">
        <v>119</v>
      </c>
      <c r="D2" s="83" t="s">
        <v>66</v>
      </c>
      <c r="E2" s="83" t="s">
        <v>120</v>
      </c>
      <c r="F2" s="83" t="s">
        <v>121</v>
      </c>
      <c r="G2" s="83" t="s">
        <v>62</v>
      </c>
      <c r="H2" s="83" t="s">
        <v>122</v>
      </c>
      <c r="I2" s="83" t="s">
        <v>63</v>
      </c>
      <c r="J2" s="83" t="s">
        <v>123</v>
      </c>
      <c r="K2" s="83" t="s">
        <v>124</v>
      </c>
      <c r="L2" s="83" t="s">
        <v>86</v>
      </c>
    </row>
    <row r="3" spans="2:12" ht="21" x14ac:dyDescent="0.25">
      <c r="B3" s="83" t="s">
        <v>119</v>
      </c>
      <c r="C3" s="84"/>
      <c r="D3" s="85">
        <v>54000</v>
      </c>
      <c r="E3" s="85">
        <v>30000</v>
      </c>
      <c r="F3" s="85">
        <v>-21000</v>
      </c>
      <c r="G3" s="85">
        <v>17000</v>
      </c>
      <c r="H3" s="85">
        <v>-2000</v>
      </c>
      <c r="I3" s="85">
        <v>10000</v>
      </c>
      <c r="J3" s="85">
        <v>-5000</v>
      </c>
      <c r="K3" s="85">
        <v>14000</v>
      </c>
      <c r="L3" s="85">
        <v>5000</v>
      </c>
    </row>
    <row r="4" spans="2:12" ht="21" x14ac:dyDescent="0.25">
      <c r="B4" s="83" t="s">
        <v>66</v>
      </c>
      <c r="C4" s="85">
        <v>-54000</v>
      </c>
      <c r="D4" s="84"/>
      <c r="E4" s="85">
        <v>56000</v>
      </c>
      <c r="F4" s="85">
        <v>-25000</v>
      </c>
      <c r="G4" s="85">
        <v>-5000</v>
      </c>
      <c r="H4" s="85">
        <v>-7000</v>
      </c>
      <c r="I4" s="85">
        <v>-11000</v>
      </c>
      <c r="J4" s="85">
        <v>-5000</v>
      </c>
      <c r="K4" s="85">
        <v>2000</v>
      </c>
      <c r="L4" s="85">
        <v>8000</v>
      </c>
    </row>
    <row r="5" spans="2:12" ht="21" x14ac:dyDescent="0.25">
      <c r="B5" s="83" t="s">
        <v>120</v>
      </c>
      <c r="C5" s="85">
        <v>-30000</v>
      </c>
      <c r="D5" s="85">
        <v>-56000</v>
      </c>
      <c r="E5" s="84"/>
      <c r="F5" s="85">
        <v>-51000</v>
      </c>
      <c r="G5" s="85">
        <v>-3000</v>
      </c>
      <c r="H5" s="85">
        <v>-8000</v>
      </c>
      <c r="I5" s="85">
        <v>-5000</v>
      </c>
      <c r="J5" s="85">
        <v>-1000</v>
      </c>
      <c r="K5" s="85">
        <v>-2000</v>
      </c>
      <c r="L5" s="85">
        <v>1000</v>
      </c>
    </row>
    <row r="6" spans="2:12" ht="21" x14ac:dyDescent="0.25">
      <c r="B6" s="83" t="s">
        <v>121</v>
      </c>
      <c r="C6" s="85">
        <v>21000</v>
      </c>
      <c r="D6" s="85">
        <v>25000</v>
      </c>
      <c r="E6" s="85">
        <v>51000</v>
      </c>
      <c r="F6" s="84"/>
      <c r="G6" s="85">
        <v>4000</v>
      </c>
      <c r="H6" s="85">
        <v>1000</v>
      </c>
      <c r="I6" s="85">
        <v>4000</v>
      </c>
      <c r="J6" s="85">
        <v>-1000</v>
      </c>
      <c r="K6" s="85">
        <v>10000</v>
      </c>
      <c r="L6" s="85">
        <v>13000</v>
      </c>
    </row>
    <row r="7" spans="2:12" ht="21" x14ac:dyDescent="0.25">
      <c r="B7" s="83" t="s">
        <v>62</v>
      </c>
      <c r="C7" s="85">
        <v>-17000</v>
      </c>
      <c r="D7" s="85">
        <v>5000</v>
      </c>
      <c r="E7" s="85">
        <v>3000</v>
      </c>
      <c r="F7" s="85">
        <v>-4000</v>
      </c>
      <c r="G7" s="84"/>
      <c r="H7" s="85">
        <v>-1000</v>
      </c>
      <c r="I7" s="85">
        <v>-2000</v>
      </c>
      <c r="J7" s="85">
        <v>-9000</v>
      </c>
      <c r="K7" s="85">
        <v>-3000</v>
      </c>
      <c r="L7" s="85">
        <v>1000</v>
      </c>
    </row>
    <row r="8" spans="2:12" ht="21" x14ac:dyDescent="0.25">
      <c r="B8" s="83" t="s">
        <v>122</v>
      </c>
      <c r="C8" s="85">
        <v>2000</v>
      </c>
      <c r="D8" s="85">
        <v>7000</v>
      </c>
      <c r="E8" s="85">
        <v>8000</v>
      </c>
      <c r="F8" s="85">
        <v>-1000</v>
      </c>
      <c r="G8" s="85">
        <v>1000</v>
      </c>
      <c r="H8" s="84"/>
      <c r="I8" s="85">
        <v>-1000</v>
      </c>
      <c r="J8" s="84">
        <v>0</v>
      </c>
      <c r="K8" s="84">
        <v>0</v>
      </c>
      <c r="L8" s="85">
        <v>4000</v>
      </c>
    </row>
    <row r="9" spans="2:12" ht="21" x14ac:dyDescent="0.25">
      <c r="B9" s="83" t="s">
        <v>63</v>
      </c>
      <c r="C9" s="85">
        <v>-10000</v>
      </c>
      <c r="D9" s="85">
        <v>11000</v>
      </c>
      <c r="E9" s="85">
        <v>5000</v>
      </c>
      <c r="F9" s="85">
        <v>-4000</v>
      </c>
      <c r="G9" s="85">
        <v>2000</v>
      </c>
      <c r="H9" s="85">
        <v>1000</v>
      </c>
      <c r="I9" s="84"/>
      <c r="J9" s="85">
        <v>-8000</v>
      </c>
      <c r="K9" s="85">
        <v>-1000</v>
      </c>
      <c r="L9" s="85">
        <v>-3000</v>
      </c>
    </row>
    <row r="10" spans="2:12" ht="21" x14ac:dyDescent="0.25">
      <c r="B10" s="83" t="s">
        <v>123</v>
      </c>
      <c r="C10" s="85">
        <v>5000</v>
      </c>
      <c r="D10" s="85">
        <v>5000</v>
      </c>
      <c r="E10" s="85">
        <v>1000</v>
      </c>
      <c r="F10" s="85">
        <v>1000</v>
      </c>
      <c r="G10" s="85">
        <v>9000</v>
      </c>
      <c r="H10" s="84">
        <v>0</v>
      </c>
      <c r="I10" s="85">
        <v>8000</v>
      </c>
      <c r="J10" s="84"/>
      <c r="K10" s="85">
        <v>-1000</v>
      </c>
      <c r="L10" s="85">
        <v>1000</v>
      </c>
    </row>
    <row r="11" spans="2:12" ht="21" x14ac:dyDescent="0.25">
      <c r="B11" s="83" t="s">
        <v>124</v>
      </c>
      <c r="C11" s="85">
        <v>-14000</v>
      </c>
      <c r="D11" s="85">
        <v>-2000</v>
      </c>
      <c r="E11" s="85">
        <v>2000</v>
      </c>
      <c r="F11" s="85">
        <v>-10000</v>
      </c>
      <c r="G11" s="85">
        <v>3000</v>
      </c>
      <c r="H11" s="84">
        <v>0</v>
      </c>
      <c r="I11" s="85">
        <v>1000</v>
      </c>
      <c r="J11" s="85">
        <v>1000</v>
      </c>
      <c r="K11" s="84"/>
      <c r="L11" s="85">
        <v>1000</v>
      </c>
    </row>
    <row r="12" spans="2:12" ht="21" x14ac:dyDescent="0.25">
      <c r="B12" s="83" t="s">
        <v>86</v>
      </c>
      <c r="C12" s="85">
        <v>-5000</v>
      </c>
      <c r="D12" s="85">
        <v>-8000</v>
      </c>
      <c r="E12" s="85">
        <v>-1000</v>
      </c>
      <c r="F12" s="85">
        <v>-13000</v>
      </c>
      <c r="G12" s="85">
        <v>-1000</v>
      </c>
      <c r="H12" s="85">
        <v>-4000</v>
      </c>
      <c r="I12" s="85">
        <v>3000</v>
      </c>
      <c r="J12" s="85">
        <v>-1000</v>
      </c>
      <c r="K12" s="85">
        <v>-1000</v>
      </c>
      <c r="L12" s="84"/>
    </row>
    <row r="18" spans="3:4" ht="31" x14ac:dyDescent="0.35">
      <c r="C18" s="87">
        <v>0.17230691383920901</v>
      </c>
      <c r="D18" s="63">
        <v>0.17230691383920901</v>
      </c>
    </row>
    <row r="19" spans="3:4" ht="31" x14ac:dyDescent="0.35">
      <c r="C19" s="87">
        <v>0.25586970753025101</v>
      </c>
      <c r="D19" s="63">
        <v>0.25586970753025101</v>
      </c>
    </row>
    <row r="20" spans="3:4" ht="31" x14ac:dyDescent="0.35">
      <c r="C20" s="87">
        <v>0.20870716349412399</v>
      </c>
      <c r="D20" s="63">
        <v>0.20870716349412399</v>
      </c>
    </row>
    <row r="21" spans="3:4" ht="31" x14ac:dyDescent="0.35">
      <c r="C21" s="87">
        <v>3.9457666209285598E-2</v>
      </c>
      <c r="D21" s="63">
        <v>3.9457666209285598E-2</v>
      </c>
    </row>
    <row r="22" spans="3:4" ht="31" x14ac:dyDescent="0.35">
      <c r="C22" s="87">
        <v>3.0945810407855601E-2</v>
      </c>
      <c r="D22" s="63">
        <v>3.0945810407855601E-2</v>
      </c>
    </row>
    <row r="23" spans="3:4" ht="31" x14ac:dyDescent="0.35">
      <c r="C23" s="87">
        <v>5.7949171386493602E-2</v>
      </c>
      <c r="D23" s="63">
        <v>5.7949171386493602E-2</v>
      </c>
    </row>
    <row r="24" spans="3:4" ht="31" x14ac:dyDescent="0.35">
      <c r="C24" s="87">
        <v>5.0678685216396797E-2</v>
      </c>
      <c r="D24" s="63">
        <v>5.0678685216396797E-2</v>
      </c>
    </row>
    <row r="25" spans="3:4" ht="31" x14ac:dyDescent="0.35">
      <c r="C25" s="87">
        <v>8.8774036764650399E-2</v>
      </c>
      <c r="D25" s="63">
        <v>8.8774036764650399E-2</v>
      </c>
    </row>
    <row r="26" spans="3:4" ht="31" x14ac:dyDescent="0.35">
      <c r="C26" s="87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89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89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89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89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89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89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89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89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89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89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89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1"/>
  <sheetViews>
    <sheetView zoomScale="125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0" t="s">
        <v>25</v>
      </c>
      <c r="C3">
        <v>255</v>
      </c>
      <c r="D3">
        <v>51</v>
      </c>
      <c r="E3">
        <v>0</v>
      </c>
    </row>
    <row r="4" spans="2:5" x14ac:dyDescent="0.2">
      <c r="B4" s="91" t="s">
        <v>26</v>
      </c>
      <c r="C4">
        <v>51</v>
      </c>
      <c r="D4">
        <v>51</v>
      </c>
      <c r="E4">
        <v>255</v>
      </c>
    </row>
    <row r="5" spans="2:5" x14ac:dyDescent="0.2">
      <c r="B5" s="91" t="s">
        <v>27</v>
      </c>
      <c r="C5">
        <v>51</v>
      </c>
      <c r="D5">
        <v>153</v>
      </c>
      <c r="E5">
        <v>255</v>
      </c>
    </row>
    <row r="6" spans="2:5" x14ac:dyDescent="0.2">
      <c r="B6" s="91" t="s">
        <v>28</v>
      </c>
      <c r="C6">
        <v>255</v>
      </c>
      <c r="D6">
        <v>255</v>
      </c>
      <c r="E6">
        <v>0</v>
      </c>
    </row>
    <row r="7" spans="2:5" x14ac:dyDescent="0.2">
      <c r="B7" s="91" t="s">
        <v>29</v>
      </c>
      <c r="C7">
        <v>102</v>
      </c>
      <c r="D7">
        <v>153</v>
      </c>
      <c r="E7">
        <v>0</v>
      </c>
    </row>
    <row r="8" spans="2:5" x14ac:dyDescent="0.2">
      <c r="B8" s="91" t="s">
        <v>30</v>
      </c>
      <c r="C8">
        <v>128</v>
      </c>
      <c r="D8">
        <v>0</v>
      </c>
      <c r="E8">
        <v>0</v>
      </c>
    </row>
    <row r="9" spans="2:5" x14ac:dyDescent="0.2">
      <c r="B9" s="91" t="s">
        <v>31</v>
      </c>
      <c r="C9">
        <v>51</v>
      </c>
      <c r="D9">
        <v>153</v>
      </c>
      <c r="E9">
        <v>51</v>
      </c>
    </row>
    <row r="10" spans="2:5" x14ac:dyDescent="0.2">
      <c r="B10" s="91" t="s">
        <v>32</v>
      </c>
      <c r="C10">
        <v>204</v>
      </c>
      <c r="D10">
        <v>51</v>
      </c>
      <c r="E10">
        <v>0</v>
      </c>
    </row>
    <row r="11" spans="2:5" x14ac:dyDescent="0.2">
      <c r="B11" s="92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opLeftCell="A39" zoomScale="150" workbookViewId="0">
      <selection activeCell="B16" sqref="B16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-3.358440147571392E-3</v>
      </c>
      <c r="F34" s="64">
        <f ca="1">F31+RAND()*(F30-F31)</f>
        <v>-1.0004836218816806E-2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2025-05-28T20:01:06Z</dcterms:modified>
</cp:coreProperties>
</file>