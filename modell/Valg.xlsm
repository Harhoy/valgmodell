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9F4B04E5-F75C-8849-ACE2-8FF3987929B5}" xr6:coauthVersionLast="36" xr6:coauthVersionMax="47" xr10:uidLastSave="{00000000-0000-0000-0000-000000000000}"/>
  <bookViews>
    <workbookView xWindow="4260" yWindow="1440" windowWidth="19000" windowHeight="14660" firstSheet="5" activeTab="7" xr2:uid="{D2CDBE29-2882-446A-A46C-4D05096CD50C}"/>
  </bookViews>
  <sheets>
    <sheet name="Forutsetninger" sheetId="6" r:id="rId1"/>
    <sheet name="Resultat" sheetId="4" r:id="rId2"/>
    <sheet name="Resultat_detaljert" sheetId="7" r:id="rId3"/>
    <sheet name="Resultater_koalisjoner" sheetId="10" r:id="rId4"/>
    <sheet name="Prognose" sheetId="3" r:id="rId5"/>
    <sheet name="Målinger" sheetId="5" r:id="rId6"/>
    <sheet name="Mandater" sheetId="1" r:id="rId7"/>
    <sheet name="Stemmefordeling" sheetId="2" r:id="rId8"/>
    <sheet name="Ark2" sheetId="11" r:id="rId9"/>
    <sheet name="Ark1" sheetId="12" r:id="rId10"/>
    <sheet name="Ark3" sheetId="13" r:id="rId11"/>
    <sheet name="Usikkerhet" sheetId="8" r:id="rId12"/>
    <sheet name="Aggregater" sheetId="9" r:id="rId13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2" l="1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D49" i="2"/>
  <c r="E49" i="2"/>
  <c r="F49" i="2"/>
  <c r="G49" i="2"/>
  <c r="H49" i="2"/>
  <c r="I49" i="2"/>
  <c r="J49" i="2"/>
  <c r="K49" i="2"/>
  <c r="C49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C22" i="2" s="1"/>
  <c r="K3" i="2"/>
  <c r="K22" i="2" s="1"/>
  <c r="J3" i="2"/>
  <c r="J22" i="2" s="1"/>
  <c r="I3" i="2"/>
  <c r="I22" i="2" s="1"/>
  <c r="H3" i="2"/>
  <c r="H22" i="2" s="1"/>
  <c r="G3" i="2"/>
  <c r="G22" i="2" s="1"/>
  <c r="F3" i="2"/>
  <c r="F22" i="2" s="1"/>
  <c r="E3" i="2"/>
  <c r="E22" i="2" s="1"/>
  <c r="D3" i="2"/>
  <c r="D22" i="2" s="1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C12" i="5" l="1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<sst xmlns="http://schemas.openxmlformats.org/spreadsheetml/2006/main" count="575" uniqueCount="131">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</sst>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9" fontId="0" fillId="3" borderId="3" xfId="4" applyFont="1" applyFill="1" applyBorder="1"/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74</c:v>
                </c:pt>
                <c:pt idx="1">
                  <c:v>95</c:v>
                </c:pt>
                <c:pt idx="2">
                  <c:v>61</c:v>
                </c:pt>
                <c:pt idx="3">
                  <c:v>72</c:v>
                </c:pt>
                <c:pt idx="4">
                  <c:v>86</c:v>
                </c:pt>
                <c:pt idx="5">
                  <c:v>47</c:v>
                </c:pt>
                <c:pt idx="6">
                  <c:v>92</c:v>
                </c:pt>
                <c:pt idx="7">
                  <c:v>89</c:v>
                </c:pt>
                <c:pt idx="8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36</c:v>
                </c:pt>
                <c:pt idx="1">
                  <c:v>48</c:v>
                </c:pt>
                <c:pt idx="2">
                  <c:v>37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12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4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Stemmefordeling!$C$2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Stemmefordeling!$C$3:$C$21</c:f>
              <c:numCache>
                <c:formatCode>0%</c:formatCode>
                <c:ptCount val="19"/>
                <c:pt idx="0">
                  <c:v>6.2770857220591947E-2</c:v>
                </c:pt>
                <c:pt idx="1">
                  <c:v>0.10444357310329927</c:v>
                </c:pt>
                <c:pt idx="2">
                  <c:v>0.12117599046148184</c:v>
                </c:pt>
                <c:pt idx="3">
                  <c:v>5.5664981269340823E-2</c:v>
                </c:pt>
                <c:pt idx="4">
                  <c:v>5.0356151166765166E-2</c:v>
                </c:pt>
                <c:pt idx="5">
                  <c:v>5.438235694223275E-2</c:v>
                </c:pt>
                <c:pt idx="6">
                  <c:v>4.6719762588752003E-2</c:v>
                </c:pt>
                <c:pt idx="7">
                  <c:v>4.1111424844730439E-2</c:v>
                </c:pt>
                <c:pt idx="8">
                  <c:v>2.0145889943516519E-2</c:v>
                </c:pt>
                <c:pt idx="9">
                  <c:v>2.6552152625435973E-2</c:v>
                </c:pt>
                <c:pt idx="10">
                  <c:v>6.2258722016898173E-2</c:v>
                </c:pt>
                <c:pt idx="11">
                  <c:v>8.1411206844321182E-2</c:v>
                </c:pt>
                <c:pt idx="12">
                  <c:v>1.9642900011317275E-2</c:v>
                </c:pt>
                <c:pt idx="13">
                  <c:v>4.1208593354359835E-2</c:v>
                </c:pt>
                <c:pt idx="14">
                  <c:v>7.3563420743076174E-2</c:v>
                </c:pt>
                <c:pt idx="15">
                  <c:v>3.6642816560714886E-2</c:v>
                </c:pt>
                <c:pt idx="16">
                  <c:v>5.3434678183611903E-2</c:v>
                </c:pt>
                <c:pt idx="17">
                  <c:v>3.1363708590496461E-2</c:v>
                </c:pt>
                <c:pt idx="18">
                  <c:v>1.7150813529057386E-2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3-5E4C-88E3-6A0935F150F3}"/>
            </c:ext>
          </c:extLst>
        </c:ser>
        <c:ser>
          <c:idx val="1"/>
          <c:order val="1"/>
          <c:tx>
            <c:strRef>
              <c:f>Stemmefordeling!$D$2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Stemmefordeling!$D$3:$D$21</c:f>
              <c:numCache>
                <c:formatCode>0.000\ %</c:formatCode>
                <c:ptCount val="19"/>
                <c:pt idx="0" formatCode="0.00%">
                  <c:v>6.6444473207351792E-2</c:v>
                </c:pt>
                <c:pt idx="1">
                  <c:v>0.11790922426438864</c:v>
                </c:pt>
                <c:pt idx="2" formatCode="0%">
                  <c:v>8.7712485978082663E-2</c:v>
                </c:pt>
                <c:pt idx="3" formatCode="0%">
                  <c:v>3.3039951678315645E-2</c:v>
                </c:pt>
                <c:pt idx="4" formatCode="0%">
                  <c:v>2.9517214600051772E-2</c:v>
                </c:pt>
                <c:pt idx="5" formatCode="0%">
                  <c:v>6.008715160928467E-2</c:v>
                </c:pt>
                <c:pt idx="6" formatCode="0%">
                  <c:v>5.8195271378030891E-2</c:v>
                </c:pt>
                <c:pt idx="7" formatCode="0%">
                  <c:v>4.0046595909914572E-2</c:v>
                </c:pt>
                <c:pt idx="8" formatCode="0%">
                  <c:v>2.4329105185952195E-2</c:v>
                </c:pt>
                <c:pt idx="9" formatCode="0%">
                  <c:v>3.8534386055742512E-2</c:v>
                </c:pt>
                <c:pt idx="10" formatCode="0%">
                  <c:v>9.7251704202260758E-2</c:v>
                </c:pt>
                <c:pt idx="11" formatCode="0%">
                  <c:v>9.3530503063249629E-2</c:v>
                </c:pt>
                <c:pt idx="12" formatCode="0%">
                  <c:v>1.4254896884977133E-2</c:v>
                </c:pt>
                <c:pt idx="13" formatCode="0%">
                  <c:v>6.2011390111312452E-2</c:v>
                </c:pt>
                <c:pt idx="14" formatCode="0%">
                  <c:v>5.1494952109759254E-2</c:v>
                </c:pt>
                <c:pt idx="15" formatCode="0%">
                  <c:v>2.1289584951246873E-2</c:v>
                </c:pt>
                <c:pt idx="16" formatCode="0%">
                  <c:v>5.3973595651048409E-2</c:v>
                </c:pt>
                <c:pt idx="17" formatCode="0%">
                  <c:v>3.7352230563465358E-2</c:v>
                </c:pt>
                <c:pt idx="18" formatCode="0%">
                  <c:v>1.302528259556476E-2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3-5E4C-88E3-6A0935F15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514176"/>
        <c:axId val="678774160"/>
      </c:barChart>
      <c:catAx>
        <c:axId val="71951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78774160"/>
        <c:crosses val="autoZero"/>
        <c:auto val="1"/>
        <c:lblAlgn val="ctr"/>
        <c:lblOffset val="100"/>
        <c:noMultiLvlLbl val="0"/>
      </c:catAx>
      <c:valAx>
        <c:axId val="67877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1951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319365</xdr:colOff>
      <xdr:row>23</xdr:row>
      <xdr:rowOff>146797</xdr:rowOff>
    </xdr:from>
    <xdr:to>
      <xdr:col>32</xdr:col>
      <xdr:colOff>67235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1441450</xdr:colOff>
      <xdr:row>22</xdr:row>
      <xdr:rowOff>50800</xdr:rowOff>
    </xdr:from>
    <xdr:to>
      <xdr:col>11</xdr:col>
      <xdr:colOff>469900</xdr:colOff>
      <xdr:row>39</xdr:row>
      <xdr:rowOff>177800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5</xdr:row>
      <xdr:rowOff>57150</xdr:rowOff>
    </xdr:from>
    <xdr:to>
      <xdr:col>20</xdr:col>
      <xdr:colOff>637250</xdr:colOff>
      <xdr:row>12</xdr:row>
      <xdr:rowOff>37936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6350" y="1009650"/>
          <a:ext cx="7400000" cy="1314286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628650</xdr:colOff>
      <xdr:row>14</xdr:row>
      <xdr:rowOff>9525</xdr:rowOff>
    </xdr:from>
    <xdr:to>
      <xdr:col>20</xdr:col>
      <xdr:colOff>151507</xdr:colOff>
      <xdr:row>19</xdr:row>
      <xdr:rowOff>114168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7652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17</xdr:row>
      <xdr:rowOff>9525</xdr:rowOff>
    </xdr:from>
    <xdr:to>
      <xdr:col>19</xdr:col>
      <xdr:colOff>418263</xdr:colOff>
      <xdr:row>21</xdr:row>
      <xdr:rowOff>142763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125" y="3248025"/>
          <a:ext cx="6695238" cy="8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91" t="s">
        <v>75</v>
      </c>
      <c r="G2" s="91"/>
      <c r="H2" s="91"/>
      <c r="I2" s="91"/>
      <c r="J2" s="91"/>
      <c r="K2" s="91"/>
      <c r="L2" s="91"/>
      <c r="M2" s="91"/>
      <c r="N2" s="91"/>
      <c r="O2" s="91"/>
    </row>
    <row r="3" spans="2:15" x14ac:dyDescent="0.2">
      <c r="B3" s="1" t="s">
        <v>55</v>
      </c>
      <c r="C3" s="67">
        <v>2021</v>
      </c>
      <c r="E3" s="76" t="s">
        <v>54</v>
      </c>
      <c r="F3" s="76">
        <v>1</v>
      </c>
      <c r="G3" s="76">
        <v>2</v>
      </c>
      <c r="H3" s="76">
        <v>3</v>
      </c>
      <c r="I3" s="76">
        <v>4</v>
      </c>
      <c r="J3" s="76">
        <v>5</v>
      </c>
      <c r="K3" s="76">
        <v>6</v>
      </c>
      <c r="L3" s="76">
        <v>7</v>
      </c>
      <c r="M3" s="76">
        <v>8</v>
      </c>
      <c r="N3" s="76">
        <v>9</v>
      </c>
      <c r="O3" s="76">
        <v>10</v>
      </c>
    </row>
    <row r="4" spans="2:15" x14ac:dyDescent="0.2">
      <c r="B4" s="1" t="s">
        <v>58</v>
      </c>
      <c r="C4" s="74">
        <v>0.04</v>
      </c>
      <c r="E4" s="35" t="s">
        <v>25</v>
      </c>
      <c r="F4" s="77">
        <v>1</v>
      </c>
      <c r="G4" s="77">
        <v>1</v>
      </c>
      <c r="H4" s="77">
        <v>1</v>
      </c>
      <c r="I4" s="77">
        <v>1</v>
      </c>
      <c r="J4" s="77">
        <v>1</v>
      </c>
      <c r="K4" s="77"/>
      <c r="L4" s="77"/>
      <c r="M4" s="77"/>
      <c r="N4" s="77"/>
      <c r="O4" s="77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7"/>
      <c r="G5" s="77"/>
      <c r="H5" s="77"/>
      <c r="I5" s="77"/>
      <c r="J5" s="77"/>
      <c r="K5" s="77">
        <v>1</v>
      </c>
      <c r="L5" s="77">
        <v>1</v>
      </c>
      <c r="M5" s="77">
        <v>1</v>
      </c>
      <c r="N5" s="77"/>
      <c r="O5" s="77"/>
    </row>
    <row r="6" spans="2:15" x14ac:dyDescent="0.2">
      <c r="B6" s="21"/>
      <c r="C6" s="68"/>
      <c r="E6" s="35" t="s">
        <v>27</v>
      </c>
      <c r="F6" s="77"/>
      <c r="G6" s="77"/>
      <c r="H6" s="77"/>
      <c r="I6" s="77"/>
      <c r="J6" s="77"/>
      <c r="K6" s="77">
        <v>1</v>
      </c>
      <c r="L6" s="77">
        <v>1</v>
      </c>
      <c r="M6" s="77">
        <v>1</v>
      </c>
      <c r="N6" s="77"/>
      <c r="O6" s="77"/>
    </row>
    <row r="7" spans="2:15" x14ac:dyDescent="0.2">
      <c r="B7" s="1" t="s">
        <v>83</v>
      </c>
      <c r="C7" s="69">
        <f ca="1">TODAY()</f>
        <v>45659</v>
      </c>
      <c r="E7" s="35" t="s">
        <v>28</v>
      </c>
      <c r="F7" s="77"/>
      <c r="G7" s="77"/>
      <c r="H7" s="77"/>
      <c r="I7" s="77"/>
      <c r="J7" s="77"/>
      <c r="K7" s="77"/>
      <c r="L7" s="77"/>
      <c r="M7" s="77">
        <v>1</v>
      </c>
      <c r="N7" s="77"/>
      <c r="O7" s="77"/>
    </row>
    <row r="8" spans="2:15" x14ac:dyDescent="0.2">
      <c r="B8" s="1" t="s">
        <v>88</v>
      </c>
      <c r="C8" s="67">
        <v>15</v>
      </c>
      <c r="E8" s="35" t="s">
        <v>29</v>
      </c>
      <c r="F8" s="77"/>
      <c r="G8" s="77"/>
      <c r="H8" s="77"/>
      <c r="I8" s="77"/>
      <c r="J8" s="77">
        <v>1</v>
      </c>
      <c r="K8" s="77"/>
      <c r="L8" s="77"/>
      <c r="M8" s="77"/>
      <c r="N8" s="77"/>
      <c r="O8" s="77"/>
    </row>
    <row r="9" spans="2:15" x14ac:dyDescent="0.2">
      <c r="B9" s="1" t="s">
        <v>89</v>
      </c>
      <c r="C9" s="70">
        <v>30</v>
      </c>
      <c r="E9" s="35" t="s">
        <v>30</v>
      </c>
      <c r="F9" s="77"/>
      <c r="G9" s="77">
        <v>1</v>
      </c>
      <c r="H9" s="77">
        <v>1</v>
      </c>
      <c r="I9" s="77">
        <v>1</v>
      </c>
      <c r="J9" s="77">
        <v>1</v>
      </c>
      <c r="K9" s="77"/>
      <c r="L9" s="77"/>
      <c r="M9" s="77"/>
      <c r="N9" s="77"/>
      <c r="O9" s="77"/>
    </row>
    <row r="10" spans="2:15" x14ac:dyDescent="0.2">
      <c r="C10" s="42"/>
      <c r="E10" s="35" t="s">
        <v>31</v>
      </c>
      <c r="F10" s="77"/>
      <c r="G10" s="77"/>
      <c r="H10" s="77">
        <v>1</v>
      </c>
      <c r="I10" s="77">
        <v>1</v>
      </c>
      <c r="J10" s="77">
        <v>1</v>
      </c>
      <c r="K10" s="77"/>
      <c r="L10" s="77"/>
      <c r="M10" s="77"/>
      <c r="N10" s="77"/>
      <c r="O10" s="77"/>
    </row>
    <row r="11" spans="2:15" x14ac:dyDescent="0.2">
      <c r="B11" s="1" t="s">
        <v>97</v>
      </c>
      <c r="C11" s="71">
        <v>0.65</v>
      </c>
      <c r="E11" s="35" t="s">
        <v>32</v>
      </c>
      <c r="F11" s="77"/>
      <c r="G11" s="77"/>
      <c r="H11" s="77"/>
      <c r="I11" s="77">
        <v>1</v>
      </c>
      <c r="J11" s="77">
        <v>1</v>
      </c>
      <c r="K11" s="77"/>
      <c r="L11" s="77"/>
      <c r="M11" s="77"/>
      <c r="N11" s="77"/>
      <c r="O11" s="77"/>
    </row>
    <row r="12" spans="2:15" ht="16" thickBot="1" x14ac:dyDescent="0.25">
      <c r="C12" s="42"/>
      <c r="E12" s="35" t="s">
        <v>33</v>
      </c>
      <c r="F12" s="78"/>
      <c r="G12" s="78"/>
      <c r="H12" s="78"/>
      <c r="I12" s="78"/>
      <c r="J12" s="78"/>
      <c r="K12" s="78"/>
      <c r="L12" s="78">
        <v>1</v>
      </c>
      <c r="M12" s="78">
        <v>1</v>
      </c>
      <c r="N12" s="78"/>
      <c r="O12" s="78"/>
    </row>
    <row r="13" spans="2:15" ht="16" thickBot="1" x14ac:dyDescent="0.25">
      <c r="B13" s="1" t="s">
        <v>98</v>
      </c>
      <c r="C13" s="67">
        <v>60</v>
      </c>
      <c r="E13" s="79" t="s">
        <v>117</v>
      </c>
      <c r="F13" s="80">
        <v>85</v>
      </c>
      <c r="G13" s="80">
        <v>85</v>
      </c>
      <c r="H13" s="80">
        <v>85</v>
      </c>
      <c r="I13" s="80">
        <v>85</v>
      </c>
      <c r="J13" s="80">
        <v>85</v>
      </c>
      <c r="K13" s="80">
        <v>85</v>
      </c>
      <c r="L13" s="80">
        <v>85</v>
      </c>
      <c r="M13" s="80">
        <v>85</v>
      </c>
      <c r="N13" s="80">
        <v>85</v>
      </c>
      <c r="O13" s="81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A3" zoomScale="119" zoomScaleNormal="110" workbookViewId="0">
      <selection activeCell="G6" activeCellId="1" sqref="B6 G6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92" t="s">
        <v>68</v>
      </c>
      <c r="C2" s="92"/>
      <c r="D2" s="92"/>
      <c r="E2" s="92"/>
      <c r="F2" s="92"/>
      <c r="G2" s="92"/>
      <c r="H2" s="92"/>
      <c r="I2" s="92"/>
      <c r="J2" s="92"/>
      <c r="M2" s="92" t="s">
        <v>77</v>
      </c>
      <c r="N2" s="92"/>
      <c r="O2" s="92"/>
      <c r="P2" s="92"/>
      <c r="Q2" s="92"/>
      <c r="R2" s="92"/>
      <c r="S2" s="92"/>
      <c r="T2" s="92"/>
      <c r="U2" s="92"/>
      <c r="X2" s="92" t="s">
        <v>69</v>
      </c>
      <c r="Y2" s="92"/>
      <c r="Z2" s="92"/>
      <c r="AA2" s="92"/>
      <c r="AB2" s="92"/>
      <c r="AC2" s="92"/>
      <c r="AD2" s="92"/>
      <c r="AE2" s="92"/>
      <c r="AF2" s="92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2</v>
      </c>
      <c r="C4" s="24">
        <v>3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1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1</v>
      </c>
      <c r="S4" s="24">
        <v>0</v>
      </c>
      <c r="T4" s="24">
        <v>0</v>
      </c>
      <c r="U4" s="24">
        <v>0</v>
      </c>
      <c r="V4" s="31"/>
      <c r="W4" s="22" t="s">
        <v>35</v>
      </c>
      <c r="X4" s="24">
        <f>B4+M4</f>
        <v>2</v>
      </c>
      <c r="Y4" s="24">
        <f t="shared" ref="Y4:AF19" si="0">C4+N4</f>
        <v>3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1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74</v>
      </c>
      <c r="BB4" s="22" t="s">
        <v>35</v>
      </c>
      <c r="BC4" s="24">
        <f t="shared" ref="BC4:BC22" si="1">B4-BN4</f>
        <v>-1</v>
      </c>
      <c r="BD4" s="24">
        <f t="shared" ref="BD4:BD22" si="2">C4-BO4</f>
        <v>1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1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-1</v>
      </c>
      <c r="CS4" s="24">
        <f t="shared" si="11"/>
        <v>0</v>
      </c>
      <c r="CT4" s="24">
        <f t="shared" si="11"/>
        <v>0</v>
      </c>
      <c r="CU4" s="24">
        <f t="shared" si="11"/>
        <v>0</v>
      </c>
    </row>
    <row r="5" spans="1:99" x14ac:dyDescent="0.2">
      <c r="A5" s="22" t="s">
        <v>36</v>
      </c>
      <c r="B5" s="24">
        <v>4</v>
      </c>
      <c r="C5" s="24">
        <v>5</v>
      </c>
      <c r="D5" s="24">
        <v>5</v>
      </c>
      <c r="E5" s="24">
        <v>0</v>
      </c>
      <c r="F5" s="24">
        <v>1</v>
      </c>
      <c r="G5" s="24">
        <v>1</v>
      </c>
      <c r="H5" s="24">
        <v>0</v>
      </c>
      <c r="I5" s="24">
        <v>2</v>
      </c>
      <c r="J5" s="24">
        <v>1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1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4</v>
      </c>
      <c r="Y5" s="24">
        <f t="shared" si="0"/>
        <v>5</v>
      </c>
      <c r="Z5" s="24">
        <f t="shared" si="0"/>
        <v>5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1</v>
      </c>
      <c r="AE5" s="24">
        <f t="shared" si="0"/>
        <v>2</v>
      </c>
      <c r="AF5" s="24">
        <f t="shared" si="0"/>
        <v>1</v>
      </c>
      <c r="AG5" s="31"/>
      <c r="AH5" s="31"/>
      <c r="AI5" s="31"/>
      <c r="AJ5" s="31"/>
      <c r="AK5" s="31"/>
      <c r="AL5" s="21" t="s">
        <v>71</v>
      </c>
      <c r="AM5" s="23">
        <f>169-AM4</f>
        <v>95</v>
      </c>
      <c r="BB5" s="22" t="s">
        <v>36</v>
      </c>
      <c r="BC5" s="24">
        <f t="shared" si="1"/>
        <v>-1</v>
      </c>
      <c r="BD5" s="24">
        <f t="shared" si="2"/>
        <v>2</v>
      </c>
      <c r="BE5" s="24">
        <f t="shared" si="3"/>
        <v>-2</v>
      </c>
      <c r="BF5" s="24">
        <f t="shared" si="4"/>
        <v>0</v>
      </c>
      <c r="BG5" s="24">
        <f t="shared" si="5"/>
        <v>1</v>
      </c>
      <c r="BH5" s="24">
        <f t="shared" si="6"/>
        <v>1</v>
      </c>
      <c r="BI5" s="24">
        <f t="shared" si="7"/>
        <v>0</v>
      </c>
      <c r="BJ5" s="24">
        <f t="shared" si="8"/>
        <v>2</v>
      </c>
      <c r="BK5" s="24">
        <f t="shared" si="9"/>
        <v>0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19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-1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3</v>
      </c>
      <c r="C6" s="24">
        <v>3</v>
      </c>
      <c r="D6" s="24">
        <v>5</v>
      </c>
      <c r="E6" s="24">
        <v>0</v>
      </c>
      <c r="F6" s="24">
        <v>1</v>
      </c>
      <c r="G6" s="24">
        <v>2</v>
      </c>
      <c r="H6" s="24">
        <v>0</v>
      </c>
      <c r="I6" s="24">
        <v>3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1</v>
      </c>
      <c r="V6" s="31"/>
      <c r="W6" s="22" t="s">
        <v>37</v>
      </c>
      <c r="X6" s="24">
        <f t="shared" si="12"/>
        <v>3</v>
      </c>
      <c r="Y6" s="24">
        <f t="shared" si="0"/>
        <v>3</v>
      </c>
      <c r="Z6" s="24">
        <f t="shared" si="0"/>
        <v>5</v>
      </c>
      <c r="AA6" s="24">
        <f t="shared" si="0"/>
        <v>0</v>
      </c>
      <c r="AB6" s="24">
        <f t="shared" si="0"/>
        <v>1</v>
      </c>
      <c r="AC6" s="24">
        <f t="shared" si="0"/>
        <v>2</v>
      </c>
      <c r="AD6" s="24">
        <f t="shared" si="0"/>
        <v>0</v>
      </c>
      <c r="AE6" s="24">
        <f t="shared" si="0"/>
        <v>3</v>
      </c>
      <c r="AF6" s="24">
        <f t="shared" si="0"/>
        <v>3</v>
      </c>
      <c r="AG6" s="31"/>
      <c r="AH6" s="31"/>
      <c r="AI6" s="31"/>
      <c r="AJ6" s="31"/>
      <c r="AK6" s="31"/>
      <c r="AL6" s="21" t="s">
        <v>72</v>
      </c>
      <c r="AM6" s="23">
        <f>X23+AE23+AD23</f>
        <v>61</v>
      </c>
      <c r="BB6" s="22" t="s">
        <v>37</v>
      </c>
      <c r="BC6" s="24">
        <f t="shared" si="1"/>
        <v>-3</v>
      </c>
      <c r="BD6" s="24">
        <f t="shared" si="2"/>
        <v>1</v>
      </c>
      <c r="BE6" s="24">
        <f t="shared" si="3"/>
        <v>-1</v>
      </c>
      <c r="BF6" s="24">
        <f t="shared" si="4"/>
        <v>0</v>
      </c>
      <c r="BG6" s="24">
        <f t="shared" si="5"/>
        <v>0</v>
      </c>
      <c r="BH6" s="24">
        <f t="shared" si="6"/>
        <v>2</v>
      </c>
      <c r="BI6" s="24">
        <f t="shared" si="7"/>
        <v>0</v>
      </c>
      <c r="BJ6" s="24">
        <f t="shared" si="8"/>
        <v>2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0</v>
      </c>
      <c r="CU6" s="24">
        <f t="shared" si="22"/>
        <v>-1</v>
      </c>
    </row>
    <row r="7" spans="1:99" x14ac:dyDescent="0.2">
      <c r="A7" s="22" t="s">
        <v>38</v>
      </c>
      <c r="B7" s="24">
        <v>2</v>
      </c>
      <c r="C7" s="24">
        <v>2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2</v>
      </c>
      <c r="Y7" s="24">
        <f t="shared" si="0"/>
        <v>2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72</v>
      </c>
      <c r="BB7" s="22" t="s">
        <v>38</v>
      </c>
      <c r="BC7" s="24">
        <f t="shared" si="1"/>
        <v>-1</v>
      </c>
      <c r="BD7" s="24">
        <f t="shared" si="2"/>
        <v>1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2</v>
      </c>
      <c r="C8" s="24">
        <v>1</v>
      </c>
      <c r="D8" s="24">
        <v>1</v>
      </c>
      <c r="E8" s="24">
        <v>0</v>
      </c>
      <c r="F8" s="24">
        <v>0</v>
      </c>
      <c r="G8" s="24">
        <v>0</v>
      </c>
      <c r="H8" s="24">
        <v>1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1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2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1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86</v>
      </c>
      <c r="BB8" s="22" t="s">
        <v>39</v>
      </c>
      <c r="BC8" s="24">
        <f t="shared" si="1"/>
        <v>-1</v>
      </c>
      <c r="BD8" s="24">
        <f t="shared" si="2"/>
        <v>0</v>
      </c>
      <c r="BE8" s="24">
        <f t="shared" si="3"/>
        <v>0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0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-1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2</v>
      </c>
      <c r="C9" s="24">
        <v>3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2</v>
      </c>
      <c r="Y9" s="24">
        <f t="shared" si="0"/>
        <v>3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47</v>
      </c>
      <c r="BB9" s="22" t="s">
        <v>40</v>
      </c>
      <c r="BC9" s="24">
        <f t="shared" si="1"/>
        <v>-1</v>
      </c>
      <c r="BD9" s="24">
        <f t="shared" si="2"/>
        <v>1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92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1</v>
      </c>
      <c r="S11" s="24">
        <v>0</v>
      </c>
      <c r="T11" s="24">
        <v>0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1</v>
      </c>
      <c r="AD11" s="24">
        <f t="shared" si="0"/>
        <v>0</v>
      </c>
      <c r="AE11" s="24">
        <f t="shared" si="0"/>
        <v>0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89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-1</v>
      </c>
      <c r="CS11" s="24">
        <f t="shared" si="20"/>
        <v>0</v>
      </c>
      <c r="CT11" s="24">
        <f t="shared" si="21"/>
        <v>0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1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0</v>
      </c>
      <c r="AD12" s="24">
        <f t="shared" si="0"/>
        <v>0</v>
      </c>
      <c r="AE12" s="24">
        <f t="shared" si="0"/>
        <v>0</v>
      </c>
      <c r="AF12" s="24">
        <f t="shared" si="0"/>
        <v>1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95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0</v>
      </c>
      <c r="CS12" s="24">
        <f t="shared" si="20"/>
        <v>0</v>
      </c>
      <c r="CT12" s="24">
        <f t="shared" si="21"/>
        <v>0</v>
      </c>
      <c r="CU12" s="24">
        <f t="shared" si="22"/>
        <v>-1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1</v>
      </c>
      <c r="E13" s="24">
        <v>1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1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2</v>
      </c>
      <c r="AA13" s="24">
        <f t="shared" si="0"/>
        <v>1</v>
      </c>
      <c r="AB13" s="24">
        <f t="shared" si="0"/>
        <v>0</v>
      </c>
      <c r="AC13" s="24">
        <f t="shared" si="0"/>
        <v>0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-1</v>
      </c>
      <c r="BF13" s="24">
        <f t="shared" si="4"/>
        <v>0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-1</v>
      </c>
      <c r="CP13" s="24">
        <f t="shared" si="17"/>
        <v>0</v>
      </c>
      <c r="CQ13" s="24">
        <f t="shared" si="18"/>
        <v>0</v>
      </c>
      <c r="CR13" s="24">
        <f t="shared" si="19"/>
        <v>0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2</v>
      </c>
      <c r="C14" s="24">
        <v>5</v>
      </c>
      <c r="D14" s="24">
        <v>4</v>
      </c>
      <c r="E14" s="24">
        <v>1</v>
      </c>
      <c r="F14" s="24">
        <v>0</v>
      </c>
      <c r="G14" s="24">
        <v>0</v>
      </c>
      <c r="H14" s="24">
        <v>0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1</v>
      </c>
      <c r="S14" s="24">
        <v>0</v>
      </c>
      <c r="T14" s="24">
        <v>0</v>
      </c>
      <c r="U14" s="24">
        <v>0</v>
      </c>
      <c r="V14" s="31"/>
      <c r="W14" s="22" t="s">
        <v>45</v>
      </c>
      <c r="X14" s="24">
        <f t="shared" si="12"/>
        <v>2</v>
      </c>
      <c r="Y14" s="24">
        <f t="shared" si="0"/>
        <v>5</v>
      </c>
      <c r="Z14" s="24">
        <f t="shared" si="0"/>
        <v>4</v>
      </c>
      <c r="AA14" s="24">
        <f t="shared" si="0"/>
        <v>1</v>
      </c>
      <c r="AB14" s="24">
        <f t="shared" si="0"/>
        <v>0</v>
      </c>
      <c r="AC14" s="24">
        <f t="shared" si="0"/>
        <v>1</v>
      </c>
      <c r="AD14" s="24">
        <f t="shared" si="0"/>
        <v>0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-1</v>
      </c>
      <c r="BD14" s="24">
        <f t="shared" si="2"/>
        <v>2</v>
      </c>
      <c r="BE14" s="24">
        <f t="shared" si="3"/>
        <v>0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-1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-1</v>
      </c>
      <c r="CS14" s="24">
        <f t="shared" si="20"/>
        <v>0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2</v>
      </c>
      <c r="C15" s="24">
        <v>4</v>
      </c>
      <c r="D15" s="24">
        <v>4</v>
      </c>
      <c r="E15" s="24">
        <v>1</v>
      </c>
      <c r="F15" s="24">
        <v>0</v>
      </c>
      <c r="G15" s="24">
        <v>1</v>
      </c>
      <c r="H15" s="24">
        <v>0</v>
      </c>
      <c r="I15" s="24">
        <v>2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1</v>
      </c>
      <c r="T15" s="24">
        <v>0</v>
      </c>
      <c r="U15" s="24">
        <v>0</v>
      </c>
      <c r="V15" s="31"/>
      <c r="W15" s="22" t="s">
        <v>46</v>
      </c>
      <c r="X15" s="24">
        <f t="shared" si="12"/>
        <v>2</v>
      </c>
      <c r="Y15" s="24">
        <f t="shared" si="0"/>
        <v>4</v>
      </c>
      <c r="Z15" s="24">
        <f t="shared" si="0"/>
        <v>4</v>
      </c>
      <c r="AA15" s="24">
        <f t="shared" si="0"/>
        <v>1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2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-2</v>
      </c>
      <c r="BD15" s="24">
        <f t="shared" si="2"/>
        <v>2</v>
      </c>
      <c r="BE15" s="24">
        <f t="shared" si="3"/>
        <v>-1</v>
      </c>
      <c r="BF15" s="24">
        <f t="shared" si="4"/>
        <v>0</v>
      </c>
      <c r="BG15" s="24">
        <f t="shared" si="5"/>
        <v>0</v>
      </c>
      <c r="BH15" s="24">
        <f t="shared" si="6"/>
        <v>1</v>
      </c>
      <c r="BI15" s="24">
        <f t="shared" si="7"/>
        <v>-1</v>
      </c>
      <c r="BJ15" s="24">
        <f t="shared" si="8"/>
        <v>1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-1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1</v>
      </c>
      <c r="C16" s="24">
        <v>1</v>
      </c>
      <c r="D16" s="24">
        <v>1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1</v>
      </c>
      <c r="T16" s="24">
        <v>0</v>
      </c>
      <c r="U16" s="24">
        <v>0</v>
      </c>
      <c r="V16" s="31"/>
      <c r="W16" s="22" t="s">
        <v>47</v>
      </c>
      <c r="X16" s="24">
        <f t="shared" si="12"/>
        <v>1</v>
      </c>
      <c r="Y16" s="24">
        <f t="shared" si="0"/>
        <v>1</v>
      </c>
      <c r="Z16" s="24">
        <f t="shared" si="0"/>
        <v>1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1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0</v>
      </c>
      <c r="BD16" s="24">
        <f t="shared" si="2"/>
        <v>1</v>
      </c>
      <c r="BE16" s="24">
        <f t="shared" si="3"/>
        <v>0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-1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1</v>
      </c>
      <c r="C17" s="24">
        <v>4</v>
      </c>
      <c r="D17" s="24">
        <v>2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1</v>
      </c>
      <c r="Y17" s="24">
        <f t="shared" si="0"/>
        <v>4</v>
      </c>
      <c r="Z17" s="24">
        <f t="shared" si="0"/>
        <v>2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0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-1</v>
      </c>
      <c r="BD17" s="24">
        <f t="shared" si="2"/>
        <v>2</v>
      </c>
      <c r="BE17" s="24">
        <f t="shared" si="3"/>
        <v>0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3</v>
      </c>
      <c r="C18" s="24">
        <v>2</v>
      </c>
      <c r="D18" s="24">
        <v>2</v>
      </c>
      <c r="E18" s="24">
        <v>0</v>
      </c>
      <c r="F18" s="24">
        <v>0</v>
      </c>
      <c r="G18" s="24">
        <v>1</v>
      </c>
      <c r="H18" s="24">
        <v>0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1</v>
      </c>
      <c r="T18" s="24">
        <v>0</v>
      </c>
      <c r="U18" s="24">
        <v>0</v>
      </c>
      <c r="V18" s="31"/>
      <c r="W18" s="22" t="s">
        <v>49</v>
      </c>
      <c r="X18" s="24">
        <f t="shared" si="12"/>
        <v>3</v>
      </c>
      <c r="Y18" s="24">
        <f t="shared" si="0"/>
        <v>2</v>
      </c>
      <c r="Z18" s="24">
        <f t="shared" si="0"/>
        <v>2</v>
      </c>
      <c r="AA18" s="24">
        <f t="shared" si="0"/>
        <v>0</v>
      </c>
      <c r="AB18" s="24">
        <f t="shared" si="0"/>
        <v>0</v>
      </c>
      <c r="AC18" s="24">
        <f t="shared" si="0"/>
        <v>1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-1</v>
      </c>
      <c r="BD18" s="24">
        <f t="shared" si="2"/>
        <v>0</v>
      </c>
      <c r="BE18" s="24">
        <f t="shared" si="3"/>
        <v>0</v>
      </c>
      <c r="BF18" s="24">
        <f t="shared" si="4"/>
        <v>0</v>
      </c>
      <c r="BG18" s="24">
        <f t="shared" si="5"/>
        <v>0</v>
      </c>
      <c r="BH18" s="24">
        <f t="shared" si="6"/>
        <v>1</v>
      </c>
      <c r="BI18" s="24">
        <f t="shared" si="7"/>
        <v>-1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-1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2</v>
      </c>
      <c r="C19" s="24">
        <v>1</v>
      </c>
      <c r="D19" s="24">
        <v>1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1</v>
      </c>
      <c r="T19" s="24">
        <v>0</v>
      </c>
      <c r="U19" s="24">
        <v>0</v>
      </c>
      <c r="V19" s="31"/>
      <c r="W19" s="22" t="s">
        <v>50</v>
      </c>
      <c r="X19" s="24">
        <f t="shared" si="12"/>
        <v>2</v>
      </c>
      <c r="Y19" s="24">
        <f t="shared" si="0"/>
        <v>1</v>
      </c>
      <c r="Z19" s="24">
        <f t="shared" si="0"/>
        <v>1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0</v>
      </c>
      <c r="BD19" s="24">
        <f t="shared" si="2"/>
        <v>1</v>
      </c>
      <c r="BE19" s="24">
        <f t="shared" si="3"/>
        <v>0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-1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-1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2</v>
      </c>
      <c r="C20" s="24">
        <v>3</v>
      </c>
      <c r="D20" s="24">
        <v>1</v>
      </c>
      <c r="E20" s="24">
        <v>0</v>
      </c>
      <c r="F20" s="24">
        <v>0</v>
      </c>
      <c r="G20" s="24">
        <v>0</v>
      </c>
      <c r="H20" s="24">
        <v>1</v>
      </c>
      <c r="I20" s="24">
        <v>1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31"/>
      <c r="W20" s="22" t="s">
        <v>51</v>
      </c>
      <c r="X20" s="24">
        <f t="shared" si="12"/>
        <v>2</v>
      </c>
      <c r="Y20" s="24">
        <f t="shared" ref="Y20:Y22" si="23">C20+N20</f>
        <v>3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-2</v>
      </c>
      <c r="BD20" s="24">
        <f t="shared" si="2"/>
        <v>1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1</v>
      </c>
      <c r="BJ20" s="24">
        <f t="shared" si="8"/>
        <v>1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-1</v>
      </c>
      <c r="CS20" s="24">
        <f t="shared" ref="CS20:CS22" si="36">CH20-S20</f>
        <v>1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1</v>
      </c>
      <c r="C21" s="24">
        <v>2</v>
      </c>
      <c r="D21" s="24">
        <v>1</v>
      </c>
      <c r="E21" s="24">
        <v>0</v>
      </c>
      <c r="F21" s="24">
        <v>0</v>
      </c>
      <c r="G21" s="24">
        <v>0</v>
      </c>
      <c r="H21" s="24">
        <v>0</v>
      </c>
      <c r="I21" s="24">
        <v>1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1</v>
      </c>
      <c r="T21" s="24">
        <v>0</v>
      </c>
      <c r="U21" s="24">
        <v>0</v>
      </c>
      <c r="V21" s="31"/>
      <c r="W21" s="22" t="s">
        <v>52</v>
      </c>
      <c r="X21" s="24">
        <f t="shared" si="12"/>
        <v>1</v>
      </c>
      <c r="Y21" s="24">
        <f t="shared" si="23"/>
        <v>2</v>
      </c>
      <c r="Z21" s="24">
        <f t="shared" si="24"/>
        <v>1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1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-1</v>
      </c>
      <c r="BD21" s="24">
        <f t="shared" si="2"/>
        <v>1</v>
      </c>
      <c r="BE21" s="24">
        <f t="shared" si="3"/>
        <v>-1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1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-1</v>
      </c>
      <c r="CT21" s="24">
        <f t="shared" si="37"/>
        <v>1</v>
      </c>
      <c r="CU21" s="24">
        <f t="shared" si="38"/>
        <v>0</v>
      </c>
    </row>
    <row r="22" spans="1:99" x14ac:dyDescent="0.2">
      <c r="A22" s="22" t="s">
        <v>53</v>
      </c>
      <c r="B22" s="24">
        <v>1</v>
      </c>
      <c r="C22" s="24">
        <v>2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1</v>
      </c>
      <c r="S22" s="24">
        <v>0</v>
      </c>
      <c r="T22" s="24">
        <v>0</v>
      </c>
      <c r="U22" s="24">
        <v>0</v>
      </c>
      <c r="V22" s="31"/>
      <c r="W22" s="22" t="s">
        <v>53</v>
      </c>
      <c r="X22" s="24">
        <f t="shared" si="12"/>
        <v>1</v>
      </c>
      <c r="Y22" s="24">
        <f t="shared" si="23"/>
        <v>2</v>
      </c>
      <c r="Z22" s="24">
        <f t="shared" si="24"/>
        <v>0</v>
      </c>
      <c r="AA22" s="24">
        <f t="shared" si="25"/>
        <v>0</v>
      </c>
      <c r="AB22" s="24">
        <f t="shared" si="26"/>
        <v>0</v>
      </c>
      <c r="AC22" s="24">
        <f t="shared" si="27"/>
        <v>1</v>
      </c>
      <c r="AD22" s="24">
        <f t="shared" si="28"/>
        <v>0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-1</v>
      </c>
      <c r="BD22" s="24">
        <f t="shared" si="2"/>
        <v>1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3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-1</v>
      </c>
      <c r="CS22" s="24">
        <f t="shared" si="36"/>
        <v>0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36</v>
      </c>
      <c r="C23" s="25">
        <f t="shared" si="39"/>
        <v>48</v>
      </c>
      <c r="D23" s="25">
        <f t="shared" si="39"/>
        <v>37</v>
      </c>
      <c r="E23" s="25">
        <f t="shared" si="39"/>
        <v>3</v>
      </c>
      <c r="F23" s="25">
        <f t="shared" si="39"/>
        <v>2</v>
      </c>
      <c r="G23" s="25">
        <f t="shared" si="39"/>
        <v>5</v>
      </c>
      <c r="H23" s="25">
        <f t="shared" si="39"/>
        <v>3</v>
      </c>
      <c r="I23" s="25">
        <f t="shared" si="39"/>
        <v>12</v>
      </c>
      <c r="J23" s="25">
        <f t="shared" si="39"/>
        <v>4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1</v>
      </c>
      <c r="P23" s="25">
        <f t="shared" si="40"/>
        <v>0</v>
      </c>
      <c r="Q23" s="25">
        <f t="shared" si="40"/>
        <v>0</v>
      </c>
      <c r="R23" s="25">
        <f>SUM(R4:R22)</f>
        <v>6</v>
      </c>
      <c r="S23" s="25">
        <f t="shared" si="40"/>
        <v>6</v>
      </c>
      <c r="T23" s="25">
        <f t="shared" si="40"/>
        <v>4</v>
      </c>
      <c r="U23" s="25">
        <f t="shared" si="40"/>
        <v>2</v>
      </c>
      <c r="V23" s="32"/>
      <c r="W23" s="19"/>
      <c r="X23" s="25">
        <f t="shared" ref="X23:AF23" si="41">SUM(X4:X22)</f>
        <v>36</v>
      </c>
      <c r="Y23" s="25">
        <f t="shared" si="41"/>
        <v>48</v>
      </c>
      <c r="Z23" s="25">
        <f t="shared" si="41"/>
        <v>38</v>
      </c>
      <c r="AA23" s="25">
        <f t="shared" si="41"/>
        <v>3</v>
      </c>
      <c r="AB23" s="25">
        <f t="shared" si="41"/>
        <v>2</v>
      </c>
      <c r="AC23" s="25">
        <f t="shared" si="41"/>
        <v>11</v>
      </c>
      <c r="AD23" s="25">
        <f t="shared" si="41"/>
        <v>9</v>
      </c>
      <c r="AE23" s="25">
        <f t="shared" si="41"/>
        <v>16</v>
      </c>
      <c r="AF23" s="25">
        <f t="shared" si="41"/>
        <v>6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/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1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1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1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0</v>
      </c>
      <c r="D6" s="39">
        <v>1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0</v>
      </c>
      <c r="C7" s="39">
        <v>1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1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1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1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1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91" t="s">
        <v>75</v>
      </c>
      <c r="D3" s="91"/>
      <c r="E3" s="91"/>
      <c r="F3" s="91"/>
      <c r="G3" s="91"/>
      <c r="H3" s="91"/>
      <c r="I3" s="91"/>
      <c r="J3" s="91"/>
      <c r="K3" s="91"/>
      <c r="L3" s="91"/>
    </row>
    <row r="4" spans="2:12" x14ac:dyDescent="0.2">
      <c r="B4" s="76" t="s">
        <v>54</v>
      </c>
      <c r="C4" s="76">
        <v>1</v>
      </c>
      <c r="D4" s="76">
        <v>2</v>
      </c>
      <c r="E4" s="76">
        <v>3</v>
      </c>
      <c r="F4" s="76">
        <v>4</v>
      </c>
      <c r="G4" s="76">
        <v>5</v>
      </c>
      <c r="H4" s="76">
        <v>6</v>
      </c>
      <c r="I4" s="76">
        <v>7</v>
      </c>
      <c r="J4" s="76">
        <v>8</v>
      </c>
      <c r="K4" s="76">
        <v>9</v>
      </c>
      <c r="L4" s="76">
        <v>10</v>
      </c>
    </row>
    <row r="5" spans="2:12" x14ac:dyDescent="0.2">
      <c r="B5" s="35" t="s">
        <v>25</v>
      </c>
      <c r="C5" s="77">
        <f>Forutsetninger!F4</f>
        <v>1</v>
      </c>
      <c r="D5" s="77">
        <f>Forutsetninger!G4</f>
        <v>1</v>
      </c>
      <c r="E5" s="77">
        <f>Forutsetninger!H4</f>
        <v>1</v>
      </c>
      <c r="F5" s="77">
        <f>Forutsetninger!I4</f>
        <v>1</v>
      </c>
      <c r="G5" s="77">
        <f>Forutsetninger!J4</f>
        <v>1</v>
      </c>
      <c r="H5" s="77">
        <f>Forutsetninger!K4</f>
        <v>0</v>
      </c>
      <c r="I5" s="77">
        <f>Forutsetninger!L4</f>
        <v>0</v>
      </c>
      <c r="J5" s="77">
        <f>Forutsetninger!M4</f>
        <v>0</v>
      </c>
      <c r="K5" s="77">
        <f>Forutsetninger!N4</f>
        <v>0</v>
      </c>
      <c r="L5" s="77">
        <f>Forutsetninger!O4</f>
        <v>1</v>
      </c>
    </row>
    <row r="6" spans="2:12" x14ac:dyDescent="0.2">
      <c r="B6" s="35" t="s">
        <v>26</v>
      </c>
      <c r="C6" s="77">
        <f>Forutsetninger!F5</f>
        <v>0</v>
      </c>
      <c r="D6" s="77">
        <f>Forutsetninger!G5</f>
        <v>0</v>
      </c>
      <c r="E6" s="77">
        <f>Forutsetninger!H5</f>
        <v>0</v>
      </c>
      <c r="F6" s="77">
        <f>Forutsetninger!I5</f>
        <v>0</v>
      </c>
      <c r="G6" s="77">
        <f>Forutsetninger!J5</f>
        <v>0</v>
      </c>
      <c r="H6" s="77">
        <f>Forutsetninger!K5</f>
        <v>1</v>
      </c>
      <c r="I6" s="77">
        <f>Forutsetninger!L5</f>
        <v>1</v>
      </c>
      <c r="J6" s="77">
        <f>Forutsetninger!M5</f>
        <v>1</v>
      </c>
      <c r="K6" s="77">
        <f>Forutsetninger!N5</f>
        <v>0</v>
      </c>
      <c r="L6" s="77">
        <f>Forutsetninger!O5</f>
        <v>0</v>
      </c>
    </row>
    <row r="7" spans="2:12" x14ac:dyDescent="0.2">
      <c r="B7" s="35" t="s">
        <v>27</v>
      </c>
      <c r="C7" s="77">
        <f>Forutsetninger!F6</f>
        <v>0</v>
      </c>
      <c r="D7" s="77">
        <f>Forutsetninger!G6</f>
        <v>0</v>
      </c>
      <c r="E7" s="77">
        <f>Forutsetninger!H6</f>
        <v>0</v>
      </c>
      <c r="F7" s="77">
        <f>Forutsetninger!I6</f>
        <v>0</v>
      </c>
      <c r="G7" s="77">
        <f>Forutsetninger!J6</f>
        <v>0</v>
      </c>
      <c r="H7" s="77">
        <f>Forutsetninger!K6</f>
        <v>1</v>
      </c>
      <c r="I7" s="77">
        <f>Forutsetninger!L6</f>
        <v>1</v>
      </c>
      <c r="J7" s="77">
        <f>Forutsetninger!M6</f>
        <v>1</v>
      </c>
      <c r="K7" s="77">
        <f>Forutsetninger!N6</f>
        <v>0</v>
      </c>
      <c r="L7" s="77">
        <f>Forutsetninger!O6</f>
        <v>0</v>
      </c>
    </row>
    <row r="8" spans="2:12" x14ac:dyDescent="0.2">
      <c r="B8" s="35" t="s">
        <v>28</v>
      </c>
      <c r="C8" s="77">
        <f>Forutsetninger!F7</f>
        <v>0</v>
      </c>
      <c r="D8" s="77">
        <f>Forutsetninger!G7</f>
        <v>0</v>
      </c>
      <c r="E8" s="77">
        <f>Forutsetninger!H7</f>
        <v>0</v>
      </c>
      <c r="F8" s="77">
        <f>Forutsetninger!I7</f>
        <v>0</v>
      </c>
      <c r="G8" s="77">
        <f>Forutsetninger!J7</f>
        <v>0</v>
      </c>
      <c r="H8" s="77">
        <f>Forutsetninger!K7</f>
        <v>0</v>
      </c>
      <c r="I8" s="77">
        <f>Forutsetninger!L7</f>
        <v>0</v>
      </c>
      <c r="J8" s="77">
        <f>Forutsetninger!M7</f>
        <v>1</v>
      </c>
      <c r="K8" s="77">
        <f>Forutsetninger!N7</f>
        <v>0</v>
      </c>
      <c r="L8" s="77">
        <f>Forutsetninger!O7</f>
        <v>0</v>
      </c>
    </row>
    <row r="9" spans="2:12" x14ac:dyDescent="0.2">
      <c r="B9" s="35" t="s">
        <v>29</v>
      </c>
      <c r="C9" s="77">
        <f>Forutsetninger!F8</f>
        <v>0</v>
      </c>
      <c r="D9" s="77">
        <f>Forutsetninger!G8</f>
        <v>0</v>
      </c>
      <c r="E9" s="77">
        <f>Forutsetninger!H8</f>
        <v>0</v>
      </c>
      <c r="F9" s="77">
        <f>Forutsetninger!I8</f>
        <v>0</v>
      </c>
      <c r="G9" s="77">
        <f>Forutsetninger!J8</f>
        <v>1</v>
      </c>
      <c r="H9" s="77">
        <f>Forutsetninger!K8</f>
        <v>0</v>
      </c>
      <c r="I9" s="77">
        <f>Forutsetninger!L8</f>
        <v>0</v>
      </c>
      <c r="J9" s="77">
        <f>Forutsetninger!M8</f>
        <v>0</v>
      </c>
      <c r="K9" s="77">
        <f>Forutsetninger!N8</f>
        <v>0</v>
      </c>
      <c r="L9" s="77">
        <f>Forutsetninger!O8</f>
        <v>0</v>
      </c>
    </row>
    <row r="10" spans="2:12" x14ac:dyDescent="0.2">
      <c r="B10" s="35" t="s">
        <v>30</v>
      </c>
      <c r="C10" s="77">
        <f>Forutsetninger!F9</f>
        <v>0</v>
      </c>
      <c r="D10" s="77">
        <f>Forutsetninger!G9</f>
        <v>1</v>
      </c>
      <c r="E10" s="77">
        <f>Forutsetninger!H9</f>
        <v>1</v>
      </c>
      <c r="F10" s="77">
        <f>Forutsetninger!I9</f>
        <v>1</v>
      </c>
      <c r="G10" s="77">
        <f>Forutsetninger!J9</f>
        <v>1</v>
      </c>
      <c r="H10" s="77">
        <f>Forutsetninger!K9</f>
        <v>0</v>
      </c>
      <c r="I10" s="77">
        <f>Forutsetninger!L9</f>
        <v>0</v>
      </c>
      <c r="J10" s="77">
        <f>Forutsetninger!M9</f>
        <v>0</v>
      </c>
      <c r="K10" s="77">
        <f>Forutsetninger!N9</f>
        <v>0</v>
      </c>
      <c r="L10" s="77">
        <f>Forutsetninger!O9</f>
        <v>0</v>
      </c>
    </row>
    <row r="11" spans="2:12" x14ac:dyDescent="0.2">
      <c r="B11" s="35" t="s">
        <v>31</v>
      </c>
      <c r="C11" s="77">
        <f>Forutsetninger!F10</f>
        <v>0</v>
      </c>
      <c r="D11" s="77">
        <f>Forutsetninger!G10</f>
        <v>0</v>
      </c>
      <c r="E11" s="77">
        <f>Forutsetninger!H10</f>
        <v>1</v>
      </c>
      <c r="F11" s="77">
        <f>Forutsetninger!I10</f>
        <v>1</v>
      </c>
      <c r="G11" s="77">
        <f>Forutsetninger!J10</f>
        <v>1</v>
      </c>
      <c r="H11" s="77">
        <f>Forutsetninger!K10</f>
        <v>0</v>
      </c>
      <c r="I11" s="77">
        <f>Forutsetninger!L10</f>
        <v>0</v>
      </c>
      <c r="J11" s="77">
        <f>Forutsetninger!M10</f>
        <v>0</v>
      </c>
      <c r="K11" s="77">
        <f>Forutsetninger!N10</f>
        <v>0</v>
      </c>
      <c r="L11" s="77">
        <f>Forutsetninger!O10</f>
        <v>0</v>
      </c>
    </row>
    <row r="12" spans="2:12" x14ac:dyDescent="0.2">
      <c r="B12" s="35" t="s">
        <v>32</v>
      </c>
      <c r="C12" s="77">
        <f>Forutsetninger!F11</f>
        <v>0</v>
      </c>
      <c r="D12" s="77">
        <f>Forutsetninger!G11</f>
        <v>0</v>
      </c>
      <c r="E12" s="77">
        <f>Forutsetninger!H11</f>
        <v>0</v>
      </c>
      <c r="F12" s="77">
        <f>Forutsetninger!I11</f>
        <v>1</v>
      </c>
      <c r="G12" s="77">
        <f>Forutsetninger!J11</f>
        <v>1</v>
      </c>
      <c r="H12" s="77">
        <f>Forutsetninger!K11</f>
        <v>0</v>
      </c>
      <c r="I12" s="77">
        <f>Forutsetninger!L11</f>
        <v>0</v>
      </c>
      <c r="J12" s="77">
        <f>Forutsetninger!M11</f>
        <v>0</v>
      </c>
      <c r="K12" s="77">
        <f>Forutsetninger!N11</f>
        <v>0</v>
      </c>
      <c r="L12" s="77">
        <f>Forutsetninger!O11</f>
        <v>0</v>
      </c>
    </row>
    <row r="13" spans="2:12" ht="16" thickBot="1" x14ac:dyDescent="0.25">
      <c r="B13" s="35" t="s">
        <v>33</v>
      </c>
      <c r="C13" s="77">
        <f>Forutsetninger!F12</f>
        <v>0</v>
      </c>
      <c r="D13" s="77">
        <f>Forutsetninger!G12</f>
        <v>0</v>
      </c>
      <c r="E13" s="77">
        <f>Forutsetninger!H12</f>
        <v>0</v>
      </c>
      <c r="F13" s="77">
        <f>Forutsetninger!I12</f>
        <v>0</v>
      </c>
      <c r="G13" s="77">
        <f>Forutsetninger!J12</f>
        <v>0</v>
      </c>
      <c r="H13" s="77">
        <f>Forutsetninger!K12</f>
        <v>0</v>
      </c>
      <c r="I13" s="77">
        <f>Forutsetninger!L12</f>
        <v>1</v>
      </c>
      <c r="J13" s="77">
        <f>Forutsetninger!M12</f>
        <v>1</v>
      </c>
      <c r="K13" s="77">
        <f>Forutsetninger!N12</f>
        <v>0</v>
      </c>
      <c r="L13" s="77">
        <f>Forutsetninger!O12</f>
        <v>0</v>
      </c>
    </row>
    <row r="14" spans="2:12" ht="16" thickBot="1" x14ac:dyDescent="0.25">
      <c r="B14" s="79"/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1</v>
      </c>
      <c r="I14" s="82">
        <v>1</v>
      </c>
      <c r="J14" s="82">
        <v>1</v>
      </c>
      <c r="K14" s="82">
        <v>0</v>
      </c>
      <c r="L14" s="83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11" sqref="B11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16" x14ac:dyDescent="0.2">
      <c r="A2" s="17" t="s">
        <v>25</v>
      </c>
      <c r="B2" s="30">
        <v>0.19</v>
      </c>
      <c r="C2" s="30">
        <f>D2/SUM($D$2:$D$10)</f>
        <v>0.1802819627244765</v>
      </c>
      <c r="D2" s="73">
        <v>0.17230691383920901</v>
      </c>
      <c r="E2" s="73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16" x14ac:dyDescent="0.2">
      <c r="A3" s="17" t="s">
        <v>26</v>
      </c>
      <c r="B3" s="30">
        <v>0.25586970753025101</v>
      </c>
      <c r="C3" s="30">
        <f t="shared" ref="C3:C10" si="0">D3/SUM($D$2:$D$10)</f>
        <v>0.26771237466615622</v>
      </c>
      <c r="D3" s="73">
        <v>0.25586970753025101</v>
      </c>
      <c r="E3" s="73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16" x14ac:dyDescent="0.2">
      <c r="A4" s="17" t="s">
        <v>27</v>
      </c>
      <c r="B4" s="30">
        <v>0.20870716349412399</v>
      </c>
      <c r="C4" s="30">
        <f t="shared" si="0"/>
        <v>0.21836696062289365</v>
      </c>
      <c r="D4" s="73">
        <v>0.20870716349412399</v>
      </c>
      <c r="E4" s="73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16" x14ac:dyDescent="0.2">
      <c r="A5" s="17" t="s">
        <v>28</v>
      </c>
      <c r="B5" s="30">
        <v>3.9457666209285598E-2</v>
      </c>
      <c r="C5" s="30">
        <f t="shared" si="0"/>
        <v>4.1283923844027209E-2</v>
      </c>
      <c r="D5" s="73">
        <v>3.9457666209285598E-2</v>
      </c>
      <c r="E5" s="73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16" x14ac:dyDescent="0.2">
      <c r="A6" s="17" t="s">
        <v>29</v>
      </c>
      <c r="B6" s="73">
        <v>3.0945810407855601E-2</v>
      </c>
      <c r="C6" s="73">
        <f t="shared" si="0"/>
        <v>3.2378105521835579E-2</v>
      </c>
      <c r="D6" s="73">
        <v>3.0945810407855601E-2</v>
      </c>
      <c r="E6" s="73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16" x14ac:dyDescent="0.2">
      <c r="A7" s="17" t="s">
        <v>30</v>
      </c>
      <c r="B7" s="30">
        <v>5.7949171386493602E-2</v>
      </c>
      <c r="C7" s="30">
        <f t="shared" si="0"/>
        <v>6.0631289383797478E-2</v>
      </c>
      <c r="D7" s="73">
        <v>5.7949171386493602E-2</v>
      </c>
      <c r="E7" s="73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16" x14ac:dyDescent="0.2">
      <c r="A8" s="17" t="s">
        <v>31</v>
      </c>
      <c r="B8" s="30">
        <v>5.0678685216396797E-2</v>
      </c>
      <c r="C8" s="30">
        <f t="shared" si="0"/>
        <v>5.3024296213869601E-2</v>
      </c>
      <c r="D8" s="73">
        <v>5.0678685216396797E-2</v>
      </c>
      <c r="E8" s="73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16" x14ac:dyDescent="0.2">
      <c r="A9" s="17" t="s">
        <v>32</v>
      </c>
      <c r="B9" s="30">
        <v>8.8774036764650399E-2</v>
      </c>
      <c r="C9" s="30">
        <f t="shared" si="0"/>
        <v>9.2882852059208348E-2</v>
      </c>
      <c r="D9" s="73">
        <v>8.8774036764650399E-2</v>
      </c>
      <c r="E9" s="73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16" x14ac:dyDescent="0.2">
      <c r="A10" s="17" t="s">
        <v>33</v>
      </c>
      <c r="B10" s="30">
        <v>5.1074312751342298E-2</v>
      </c>
      <c r="C10" s="30">
        <f t="shared" si="0"/>
        <v>5.3438234963735315E-2</v>
      </c>
      <c r="D10" s="73">
        <v>5.1074312751342298E-2</v>
      </c>
      <c r="E10" s="73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72">
        <v>0.02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x14ac:dyDescent="0.2">
      <c r="G13">
        <f>4%*G12</f>
        <v>113441.16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0.41834770377539637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7">
        <f ca="1">SQRT(1/SUM(T6:T68))</f>
        <v>8.8394046667753523E-3</v>
      </c>
      <c r="J3" s="87">
        <f t="shared" ref="J3:Q3" ca="1" si="0">SQRT(1/SUM(U6:U68))</f>
        <v>9.2580844232608445E-3</v>
      </c>
      <c r="K3" s="87">
        <f t="shared" ca="1" si="0"/>
        <v>9.684053919342319E-3</v>
      </c>
      <c r="L3" s="87">
        <f t="shared" ca="1" si="0"/>
        <v>3.9608275171943083E-3</v>
      </c>
      <c r="M3" s="87">
        <f t="shared" ca="1" si="0"/>
        <v>4.0486937285783261E-3</v>
      </c>
      <c r="N3" s="87">
        <f t="shared" ca="1" si="0"/>
        <v>5.1426664716444602E-3</v>
      </c>
      <c r="O3" s="87">
        <f t="shared" ca="1" si="0"/>
        <v>4.9731064169957631E-3</v>
      </c>
      <c r="P3" s="87">
        <f t="shared" ca="1" si="0"/>
        <v>6.5340516848025141E-3</v>
      </c>
      <c r="Q3" s="87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71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79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89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90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91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100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113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113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117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119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G20"/>
  <sheetViews>
    <sheetView zoomScale="116" workbookViewId="0">
      <selection activeCell="H2" sqref="H2:H20"/>
    </sheetView>
  </sheetViews>
  <sheetFormatPr baseColWidth="10" defaultRowHeight="15" x14ac:dyDescent="0.2"/>
  <cols>
    <col min="1" max="1" width="16.5" bestFit="1" customWidth="1"/>
  </cols>
  <sheetData>
    <row r="1" spans="1:7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</row>
    <row r="2" spans="1:7" x14ac:dyDescent="0.2">
      <c r="A2" t="s">
        <v>20</v>
      </c>
      <c r="B2">
        <f>E2-C2</f>
        <v>8</v>
      </c>
      <c r="C2">
        <v>1</v>
      </c>
      <c r="E2">
        <v>9</v>
      </c>
      <c r="G2">
        <v>8</v>
      </c>
    </row>
    <row r="3" spans="1:7" x14ac:dyDescent="0.2">
      <c r="A3" t="s">
        <v>2</v>
      </c>
      <c r="B3">
        <f t="shared" ref="B3:B20" si="0">E3-C3</f>
        <v>19</v>
      </c>
      <c r="C3">
        <v>1</v>
      </c>
      <c r="E3">
        <v>20</v>
      </c>
      <c r="G3">
        <v>16</v>
      </c>
    </row>
    <row r="4" spans="1:7" x14ac:dyDescent="0.2">
      <c r="A4" t="s">
        <v>3</v>
      </c>
      <c r="B4">
        <f t="shared" si="0"/>
        <v>19</v>
      </c>
      <c r="C4">
        <v>1</v>
      </c>
      <c r="E4">
        <v>20</v>
      </c>
      <c r="G4">
        <v>18</v>
      </c>
    </row>
    <row r="5" spans="1:7" x14ac:dyDescent="0.2">
      <c r="A5" t="s">
        <v>4</v>
      </c>
      <c r="B5">
        <f t="shared" si="0"/>
        <v>6</v>
      </c>
      <c r="C5">
        <v>1</v>
      </c>
      <c r="E5">
        <v>7</v>
      </c>
      <c r="G5">
        <v>6</v>
      </c>
    </row>
    <row r="6" spans="1:7" x14ac:dyDescent="0.2">
      <c r="A6" t="s">
        <v>5</v>
      </c>
      <c r="B6">
        <f t="shared" si="0"/>
        <v>5</v>
      </c>
      <c r="C6">
        <v>1</v>
      </c>
      <c r="E6">
        <v>6</v>
      </c>
      <c r="G6">
        <v>6</v>
      </c>
    </row>
    <row r="7" spans="1:7" x14ac:dyDescent="0.2">
      <c r="A7" t="s">
        <v>6</v>
      </c>
      <c r="B7">
        <f t="shared" si="0"/>
        <v>7</v>
      </c>
      <c r="C7">
        <v>1</v>
      </c>
      <c r="E7">
        <v>8</v>
      </c>
      <c r="G7">
        <v>8</v>
      </c>
    </row>
    <row r="8" spans="1:7" x14ac:dyDescent="0.2">
      <c r="A8" t="s">
        <v>7</v>
      </c>
      <c r="B8">
        <f t="shared" si="0"/>
        <v>6</v>
      </c>
      <c r="C8">
        <v>1</v>
      </c>
      <c r="E8">
        <v>7</v>
      </c>
      <c r="G8">
        <v>6</v>
      </c>
    </row>
    <row r="9" spans="1:7" x14ac:dyDescent="0.2">
      <c r="A9" t="s">
        <v>8</v>
      </c>
      <c r="B9">
        <f t="shared" si="0"/>
        <v>5</v>
      </c>
      <c r="C9">
        <v>1</v>
      </c>
      <c r="E9">
        <v>6</v>
      </c>
      <c r="G9">
        <v>5</v>
      </c>
    </row>
    <row r="10" spans="1:7" x14ac:dyDescent="0.2">
      <c r="A10" t="s">
        <v>9</v>
      </c>
      <c r="B10">
        <f t="shared" si="0"/>
        <v>3</v>
      </c>
      <c r="C10">
        <v>1</v>
      </c>
      <c r="E10">
        <v>4</v>
      </c>
      <c r="G10">
        <v>3</v>
      </c>
    </row>
    <row r="11" spans="1:7" x14ac:dyDescent="0.2">
      <c r="A11" t="s">
        <v>10</v>
      </c>
      <c r="B11">
        <f t="shared" si="0"/>
        <v>5</v>
      </c>
      <c r="C11">
        <v>1</v>
      </c>
      <c r="E11">
        <v>6</v>
      </c>
      <c r="G11">
        <v>5</v>
      </c>
    </row>
    <row r="12" spans="1:7" x14ac:dyDescent="0.2">
      <c r="A12" t="s">
        <v>11</v>
      </c>
      <c r="B12">
        <f t="shared" si="0"/>
        <v>13</v>
      </c>
      <c r="C12">
        <v>1</v>
      </c>
      <c r="E12">
        <v>14</v>
      </c>
      <c r="G12">
        <v>13</v>
      </c>
    </row>
    <row r="13" spans="1:7" x14ac:dyDescent="0.2">
      <c r="A13" t="s">
        <v>12</v>
      </c>
      <c r="B13">
        <f t="shared" si="0"/>
        <v>15</v>
      </c>
      <c r="C13">
        <v>1</v>
      </c>
      <c r="E13">
        <v>16</v>
      </c>
      <c r="G13">
        <v>15</v>
      </c>
    </row>
    <row r="14" spans="1:7" x14ac:dyDescent="0.2">
      <c r="A14" t="s">
        <v>13</v>
      </c>
      <c r="B14">
        <f t="shared" si="0"/>
        <v>3</v>
      </c>
      <c r="C14">
        <v>1</v>
      </c>
      <c r="E14">
        <v>4</v>
      </c>
      <c r="G14">
        <v>3</v>
      </c>
    </row>
    <row r="15" spans="1:7" x14ac:dyDescent="0.2">
      <c r="A15" t="s">
        <v>14</v>
      </c>
      <c r="B15">
        <f t="shared" si="0"/>
        <v>7</v>
      </c>
      <c r="C15">
        <v>1</v>
      </c>
      <c r="E15">
        <v>8</v>
      </c>
      <c r="G15">
        <v>8</v>
      </c>
    </row>
    <row r="16" spans="1:7" x14ac:dyDescent="0.2">
      <c r="A16" t="s">
        <v>15</v>
      </c>
      <c r="B16">
        <f t="shared" si="0"/>
        <v>9</v>
      </c>
      <c r="C16">
        <v>1</v>
      </c>
      <c r="E16">
        <v>10</v>
      </c>
      <c r="G16">
        <v>9</v>
      </c>
    </row>
    <row r="17" spans="1:7" x14ac:dyDescent="0.2">
      <c r="A17" t="s">
        <v>16</v>
      </c>
      <c r="B17">
        <f t="shared" si="0"/>
        <v>4</v>
      </c>
      <c r="C17">
        <v>1</v>
      </c>
      <c r="E17">
        <v>5</v>
      </c>
      <c r="G17">
        <v>4</v>
      </c>
    </row>
    <row r="18" spans="1:7" x14ac:dyDescent="0.2">
      <c r="A18" t="s">
        <v>17</v>
      </c>
      <c r="B18">
        <f t="shared" si="0"/>
        <v>8</v>
      </c>
      <c r="C18">
        <v>1</v>
      </c>
      <c r="E18">
        <v>9</v>
      </c>
      <c r="G18">
        <v>8</v>
      </c>
    </row>
    <row r="19" spans="1:7" x14ac:dyDescent="0.2">
      <c r="A19" t="s">
        <v>18</v>
      </c>
      <c r="B19">
        <f t="shared" si="0"/>
        <v>5</v>
      </c>
      <c r="C19">
        <v>1</v>
      </c>
      <c r="E19">
        <v>6</v>
      </c>
      <c r="G19">
        <v>5</v>
      </c>
    </row>
    <row r="20" spans="1:7" x14ac:dyDescent="0.2">
      <c r="A20" t="s">
        <v>19</v>
      </c>
      <c r="B20">
        <f t="shared" si="0"/>
        <v>3</v>
      </c>
      <c r="C20">
        <v>1</v>
      </c>
      <c r="E20">
        <v>4</v>
      </c>
      <c r="G20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49"/>
  <sheetViews>
    <sheetView tabSelected="1" topLeftCell="N1" workbookViewId="0">
      <selection activeCell="U3" sqref="U3:AC21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93" t="s">
        <v>22</v>
      </c>
      <c r="D1" s="94"/>
      <c r="E1" s="94"/>
      <c r="F1" s="94"/>
      <c r="G1" s="94"/>
      <c r="H1" s="94"/>
      <c r="I1" s="94"/>
      <c r="J1" s="94"/>
      <c r="K1" s="95"/>
      <c r="L1" s="93">
        <v>2017</v>
      </c>
      <c r="M1" s="94"/>
      <c r="N1" s="94"/>
      <c r="O1" s="94"/>
      <c r="P1" s="94"/>
      <c r="Q1" s="94"/>
      <c r="R1" s="94"/>
      <c r="S1" s="94"/>
      <c r="T1" s="95"/>
      <c r="U1" s="93">
        <v>2021</v>
      </c>
      <c r="V1" s="94"/>
      <c r="W1" s="94"/>
      <c r="X1" s="94"/>
      <c r="Y1" s="94"/>
      <c r="Z1" s="94"/>
      <c r="AA1" s="94"/>
      <c r="AB1" s="94"/>
      <c r="AC1" s="95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6.2770857220591947E-2</v>
      </c>
      <c r="D3" s="75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11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12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0.10444357310329927</v>
      </c>
      <c r="D4" s="89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11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12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12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11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12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12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11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12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12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11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12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11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12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12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11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12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12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11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12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12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11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12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12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11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12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12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11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12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12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11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12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12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11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12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12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11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12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12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11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12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12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11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12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12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11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12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12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11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12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12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11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12">
        <f t="shared" si="18"/>
        <v>4.1038178603392201E-3</v>
      </c>
    </row>
    <row r="22" spans="1:29" x14ac:dyDescent="0.2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3:11" x14ac:dyDescent="0.2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</row>
  </sheetData>
  <mergeCells count="3">
    <mergeCell ref="C1:K1"/>
    <mergeCell ref="L1:T1"/>
    <mergeCell ref="U1:AC1"/>
  </mergeCells>
  <pageMargins left="0.75" right="0.75" top="0.75" bottom="0.5" header="0.5" footer="0.7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4"/>
      <c r="C2" s="84" t="s">
        <v>119</v>
      </c>
      <c r="D2" s="84" t="s">
        <v>66</v>
      </c>
      <c r="E2" s="84" t="s">
        <v>120</v>
      </c>
      <c r="F2" s="84" t="s">
        <v>121</v>
      </c>
      <c r="G2" s="84" t="s">
        <v>62</v>
      </c>
      <c r="H2" s="84" t="s">
        <v>122</v>
      </c>
      <c r="I2" s="84" t="s">
        <v>63</v>
      </c>
      <c r="J2" s="84" t="s">
        <v>123</v>
      </c>
      <c r="K2" s="84" t="s">
        <v>124</v>
      </c>
      <c r="L2" s="84" t="s">
        <v>86</v>
      </c>
    </row>
    <row r="3" spans="2:12" ht="21" x14ac:dyDescent="0.25">
      <c r="B3" s="84" t="s">
        <v>119</v>
      </c>
      <c r="C3" s="85"/>
      <c r="D3" s="86">
        <v>54000</v>
      </c>
      <c r="E3" s="86">
        <v>30000</v>
      </c>
      <c r="F3" s="86">
        <v>-21000</v>
      </c>
      <c r="G3" s="86">
        <v>17000</v>
      </c>
      <c r="H3" s="86">
        <v>-2000</v>
      </c>
      <c r="I3" s="86">
        <v>10000</v>
      </c>
      <c r="J3" s="86">
        <v>-5000</v>
      </c>
      <c r="K3" s="86">
        <v>14000</v>
      </c>
      <c r="L3" s="86">
        <v>5000</v>
      </c>
    </row>
    <row r="4" spans="2:12" ht="21" x14ac:dyDescent="0.25">
      <c r="B4" s="84" t="s">
        <v>66</v>
      </c>
      <c r="C4" s="86">
        <v>-54000</v>
      </c>
      <c r="D4" s="85"/>
      <c r="E4" s="86">
        <v>56000</v>
      </c>
      <c r="F4" s="86">
        <v>-25000</v>
      </c>
      <c r="G4" s="86">
        <v>-5000</v>
      </c>
      <c r="H4" s="86">
        <v>-7000</v>
      </c>
      <c r="I4" s="86">
        <v>-11000</v>
      </c>
      <c r="J4" s="86">
        <v>-5000</v>
      </c>
      <c r="K4" s="86">
        <v>2000</v>
      </c>
      <c r="L4" s="86">
        <v>8000</v>
      </c>
    </row>
    <row r="5" spans="2:12" ht="21" x14ac:dyDescent="0.25">
      <c r="B5" s="84" t="s">
        <v>120</v>
      </c>
      <c r="C5" s="86">
        <v>-30000</v>
      </c>
      <c r="D5" s="86">
        <v>-56000</v>
      </c>
      <c r="E5" s="85"/>
      <c r="F5" s="86">
        <v>-51000</v>
      </c>
      <c r="G5" s="86">
        <v>-3000</v>
      </c>
      <c r="H5" s="86">
        <v>-8000</v>
      </c>
      <c r="I5" s="86">
        <v>-5000</v>
      </c>
      <c r="J5" s="86">
        <v>-1000</v>
      </c>
      <c r="K5" s="86">
        <v>-2000</v>
      </c>
      <c r="L5" s="86">
        <v>1000</v>
      </c>
    </row>
    <row r="6" spans="2:12" ht="21" x14ac:dyDescent="0.25">
      <c r="B6" s="84" t="s">
        <v>121</v>
      </c>
      <c r="C6" s="86">
        <v>21000</v>
      </c>
      <c r="D6" s="86">
        <v>25000</v>
      </c>
      <c r="E6" s="86">
        <v>51000</v>
      </c>
      <c r="F6" s="85"/>
      <c r="G6" s="86">
        <v>4000</v>
      </c>
      <c r="H6" s="86">
        <v>1000</v>
      </c>
      <c r="I6" s="86">
        <v>4000</v>
      </c>
      <c r="J6" s="86">
        <v>-1000</v>
      </c>
      <c r="K6" s="86">
        <v>10000</v>
      </c>
      <c r="L6" s="86">
        <v>13000</v>
      </c>
    </row>
    <row r="7" spans="2:12" ht="21" x14ac:dyDescent="0.25">
      <c r="B7" s="84" t="s">
        <v>62</v>
      </c>
      <c r="C7" s="86">
        <v>-17000</v>
      </c>
      <c r="D7" s="86">
        <v>5000</v>
      </c>
      <c r="E7" s="86">
        <v>3000</v>
      </c>
      <c r="F7" s="86">
        <v>-4000</v>
      </c>
      <c r="G7" s="85"/>
      <c r="H7" s="86">
        <v>-1000</v>
      </c>
      <c r="I7" s="86">
        <v>-2000</v>
      </c>
      <c r="J7" s="86">
        <v>-9000</v>
      </c>
      <c r="K7" s="86">
        <v>-3000</v>
      </c>
      <c r="L7" s="86">
        <v>1000</v>
      </c>
    </row>
    <row r="8" spans="2:12" ht="21" x14ac:dyDescent="0.25">
      <c r="B8" s="84" t="s">
        <v>122</v>
      </c>
      <c r="C8" s="86">
        <v>2000</v>
      </c>
      <c r="D8" s="86">
        <v>7000</v>
      </c>
      <c r="E8" s="86">
        <v>8000</v>
      </c>
      <c r="F8" s="86">
        <v>-1000</v>
      </c>
      <c r="G8" s="86">
        <v>1000</v>
      </c>
      <c r="H8" s="85"/>
      <c r="I8" s="86">
        <v>-1000</v>
      </c>
      <c r="J8" s="85">
        <v>0</v>
      </c>
      <c r="K8" s="85">
        <v>0</v>
      </c>
      <c r="L8" s="86">
        <v>4000</v>
      </c>
    </row>
    <row r="9" spans="2:12" ht="21" x14ac:dyDescent="0.25">
      <c r="B9" s="84" t="s">
        <v>63</v>
      </c>
      <c r="C9" s="86">
        <v>-10000</v>
      </c>
      <c r="D9" s="86">
        <v>11000</v>
      </c>
      <c r="E9" s="86">
        <v>5000</v>
      </c>
      <c r="F9" s="86">
        <v>-4000</v>
      </c>
      <c r="G9" s="86">
        <v>2000</v>
      </c>
      <c r="H9" s="86">
        <v>1000</v>
      </c>
      <c r="I9" s="85"/>
      <c r="J9" s="86">
        <v>-8000</v>
      </c>
      <c r="K9" s="86">
        <v>-1000</v>
      </c>
      <c r="L9" s="86">
        <v>-3000</v>
      </c>
    </row>
    <row r="10" spans="2:12" ht="21" x14ac:dyDescent="0.25">
      <c r="B10" s="84" t="s">
        <v>123</v>
      </c>
      <c r="C10" s="86">
        <v>5000</v>
      </c>
      <c r="D10" s="86">
        <v>5000</v>
      </c>
      <c r="E10" s="86">
        <v>1000</v>
      </c>
      <c r="F10" s="86">
        <v>1000</v>
      </c>
      <c r="G10" s="86">
        <v>9000</v>
      </c>
      <c r="H10" s="85">
        <v>0</v>
      </c>
      <c r="I10" s="86">
        <v>8000</v>
      </c>
      <c r="J10" s="85"/>
      <c r="K10" s="86">
        <v>-1000</v>
      </c>
      <c r="L10" s="86">
        <v>1000</v>
      </c>
    </row>
    <row r="11" spans="2:12" ht="21" x14ac:dyDescent="0.25">
      <c r="B11" s="84" t="s">
        <v>124</v>
      </c>
      <c r="C11" s="86">
        <v>-14000</v>
      </c>
      <c r="D11" s="86">
        <v>-2000</v>
      </c>
      <c r="E11" s="86">
        <v>2000</v>
      </c>
      <c r="F11" s="86">
        <v>-10000</v>
      </c>
      <c r="G11" s="86">
        <v>3000</v>
      </c>
      <c r="H11" s="85">
        <v>0</v>
      </c>
      <c r="I11" s="86">
        <v>1000</v>
      </c>
      <c r="J11" s="86">
        <v>1000</v>
      </c>
      <c r="K11" s="85"/>
      <c r="L11" s="86">
        <v>1000</v>
      </c>
    </row>
    <row r="12" spans="2:12" ht="21" x14ac:dyDescent="0.25">
      <c r="B12" s="84" t="s">
        <v>86</v>
      </c>
      <c r="C12" s="86">
        <v>-5000</v>
      </c>
      <c r="D12" s="86">
        <v>-8000</v>
      </c>
      <c r="E12" s="86">
        <v>-1000</v>
      </c>
      <c r="F12" s="86">
        <v>-13000</v>
      </c>
      <c r="G12" s="86">
        <v>-1000</v>
      </c>
      <c r="H12" s="86">
        <v>-4000</v>
      </c>
      <c r="I12" s="86">
        <v>3000</v>
      </c>
      <c r="J12" s="86">
        <v>-1000</v>
      </c>
      <c r="K12" s="86">
        <v>-1000</v>
      </c>
      <c r="L12" s="85"/>
    </row>
    <row r="18" spans="3:4" ht="31" x14ac:dyDescent="0.35">
      <c r="C18" s="88">
        <v>0.17230691383920901</v>
      </c>
      <c r="D18" s="63">
        <v>0.17230691383920901</v>
      </c>
    </row>
    <row r="19" spans="3:4" ht="31" x14ac:dyDescent="0.35">
      <c r="C19" s="88">
        <v>0.25586970753025101</v>
      </c>
      <c r="D19" s="63">
        <v>0.25586970753025101</v>
      </c>
    </row>
    <row r="20" spans="3:4" ht="31" x14ac:dyDescent="0.35">
      <c r="C20" s="88">
        <v>0.20870716349412399</v>
      </c>
      <c r="D20" s="63">
        <v>0.20870716349412399</v>
      </c>
    </row>
    <row r="21" spans="3:4" ht="31" x14ac:dyDescent="0.35">
      <c r="C21" s="88">
        <v>3.9457666209285598E-2</v>
      </c>
      <c r="D21" s="63">
        <v>3.9457666209285598E-2</v>
      </c>
    </row>
    <row r="22" spans="3:4" ht="31" x14ac:dyDescent="0.35">
      <c r="C22" s="88">
        <v>3.0945810407855601E-2</v>
      </c>
      <c r="D22" s="63">
        <v>3.0945810407855601E-2</v>
      </c>
    </row>
    <row r="23" spans="3:4" ht="31" x14ac:dyDescent="0.35">
      <c r="C23" s="88">
        <v>5.7949171386493602E-2</v>
      </c>
      <c r="D23" s="63">
        <v>5.7949171386493602E-2</v>
      </c>
    </row>
    <row r="24" spans="3:4" ht="31" x14ac:dyDescent="0.35">
      <c r="C24" s="88">
        <v>5.0678685216396797E-2</v>
      </c>
      <c r="D24" s="63">
        <v>5.0678685216396797E-2</v>
      </c>
    </row>
    <row r="25" spans="3:4" ht="31" x14ac:dyDescent="0.35">
      <c r="C25" s="88">
        <v>8.8774036764650399E-2</v>
      </c>
      <c r="D25" s="63">
        <v>8.8774036764650399E-2</v>
      </c>
    </row>
    <row r="26" spans="3:4" ht="31" x14ac:dyDescent="0.35">
      <c r="C26" s="88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90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90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90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90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90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90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90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90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90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90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90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dimension ref="B2:E11"/>
  <sheetViews>
    <sheetView zoomScale="125" workbookViewId="0">
      <selection activeCell="E12" sqref="E12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6" t="s">
        <v>25</v>
      </c>
      <c r="C3">
        <v>255</v>
      </c>
      <c r="D3">
        <v>51</v>
      </c>
      <c r="E3">
        <v>0</v>
      </c>
    </row>
    <row r="4" spans="2:5" x14ac:dyDescent="0.2">
      <c r="B4" s="97" t="s">
        <v>26</v>
      </c>
      <c r="C4">
        <v>51</v>
      </c>
      <c r="D4">
        <v>51</v>
      </c>
      <c r="E4">
        <v>255</v>
      </c>
    </row>
    <row r="5" spans="2:5" x14ac:dyDescent="0.2">
      <c r="B5" s="97" t="s">
        <v>27</v>
      </c>
      <c r="C5">
        <v>51</v>
      </c>
      <c r="D5">
        <v>153</v>
      </c>
      <c r="E5">
        <v>255</v>
      </c>
    </row>
    <row r="6" spans="2:5" x14ac:dyDescent="0.2">
      <c r="B6" s="97" t="s">
        <v>28</v>
      </c>
      <c r="C6">
        <v>255</v>
      </c>
      <c r="D6">
        <v>255</v>
      </c>
      <c r="E6">
        <v>0</v>
      </c>
    </row>
    <row r="7" spans="2:5" x14ac:dyDescent="0.2">
      <c r="B7" s="97" t="s">
        <v>29</v>
      </c>
      <c r="C7">
        <v>102</v>
      </c>
      <c r="D7">
        <v>153</v>
      </c>
      <c r="E7">
        <v>0</v>
      </c>
    </row>
    <row r="8" spans="2:5" x14ac:dyDescent="0.2">
      <c r="B8" s="97" t="s">
        <v>30</v>
      </c>
      <c r="C8">
        <v>128</v>
      </c>
      <c r="D8">
        <v>0</v>
      </c>
      <c r="E8">
        <v>0</v>
      </c>
    </row>
    <row r="9" spans="2:5" x14ac:dyDescent="0.2">
      <c r="B9" s="97" t="s">
        <v>31</v>
      </c>
      <c r="C9">
        <v>51</v>
      </c>
      <c r="D9">
        <v>153</v>
      </c>
      <c r="E9">
        <v>51</v>
      </c>
    </row>
    <row r="10" spans="2:5" x14ac:dyDescent="0.2">
      <c r="B10" s="97" t="s">
        <v>32</v>
      </c>
      <c r="C10">
        <v>204</v>
      </c>
      <c r="D10">
        <v>51</v>
      </c>
      <c r="E10">
        <v>0</v>
      </c>
    </row>
    <row r="11" spans="2:5" x14ac:dyDescent="0.2">
      <c r="B11" s="98" t="s">
        <v>33</v>
      </c>
      <c r="C11">
        <v>0</v>
      </c>
      <c r="D11">
        <v>204</v>
      </c>
      <c r="E11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opLeftCell="A8" zoomScale="150" workbookViewId="0">
      <selection activeCell="B30" sqref="B30:K31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105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30" spans="1:10" x14ac:dyDescent="0.2">
      <c r="A30" t="s">
        <v>106</v>
      </c>
      <c r="B30" s="64">
        <f>MAXA(B25:B27)</f>
        <v>2.250000000000002E-2</v>
      </c>
      <c r="C30" s="64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64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6.349380486503374E-3</v>
      </c>
      <c r="F34" s="64">
        <f ca="1">F31+RAND()*(F30-F31)</f>
        <v>-1.3566258002557074E-2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13</vt:i4>
      </vt:variant>
      <vt:variant>
        <vt:lpstr>Navngitte områder</vt:lpstr>
      </vt:variant>
      <vt:variant>
        <vt:i4>21</vt:i4>
      </vt:variant>
    </vt:vector>
  </HeadingPairs>
  <TitlesOfParts>
    <vt:vector size="34" baseType="lpstr"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Ark3</vt:lpstr>
      <vt:lpstr>Usikkerhet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2025-01-02T17:49:35Z</dcterms:modified>
</cp:coreProperties>
</file>